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grupoecorodovias.sharepoint.com/sites/ControlesGAC-EPON_ERM/Documentos Compartilhados/Geral/ENTREGAVEIS PER (OBRAS)/"/>
    </mc:Choice>
  </mc:AlternateContent>
  <xr:revisionPtr revIDLastSave="48" documentId="14_{99BC826A-48EA-4097-9BC8-011E5D66F0EB}" xr6:coauthVersionLast="47" xr6:coauthVersionMax="47" xr10:uidLastSave="{A8DFD3E5-224D-4284-A75E-3DA81ABC9EEB}"/>
  <bookViews>
    <workbookView xWindow="0" yWindow="0" windowWidth="20490" windowHeight="6975" firstSheet="1" activeTab="1" xr2:uid="{155778E4-640E-4060-80C6-566BD623D7C5}"/>
  </bookViews>
  <sheets>
    <sheet name="ENTREGÁVEIS ANO 02" sheetId="1" state="hidden" r:id="rId1"/>
    <sheet name="CERTIFICAÇÃO PROJETO" sheetId="9" r:id="rId2"/>
    <sheet name="CERTIFICADO OBRAS" sheetId="2" r:id="rId3"/>
    <sheet name="PARAMETROS DE DESEMPENHO" sheetId="3" state="hidden" r:id="rId4"/>
  </sheets>
  <definedNames>
    <definedName name="_xlnm._FilterDatabase" localSheetId="0" hidden="1">'ENTREGÁVEIS ANO 02'!$A$2:$J$25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4" i="9" l="1"/>
  <c r="O36" i="2" l="1"/>
  <c r="O28" i="2"/>
  <c r="P28" i="2" s="1"/>
  <c r="O34" i="2"/>
  <c r="O35" i="2"/>
  <c r="N12" i="2"/>
  <c r="N14" i="2"/>
  <c r="N15" i="2"/>
  <c r="N16" i="2"/>
  <c r="N21" i="2"/>
  <c r="N22" i="2"/>
  <c r="N23" i="2"/>
  <c r="N25" i="2"/>
  <c r="N26" i="2"/>
  <c r="N27" i="2"/>
  <c r="N30" i="2"/>
  <c r="W12" i="2" l="1"/>
  <c r="W13" i="2"/>
  <c r="V15" i="2"/>
  <c r="W15" i="2" s="1"/>
  <c r="V14" i="2"/>
  <c r="W14" i="2" s="1"/>
  <c r="V11" i="2"/>
  <c r="W11" i="2" s="1"/>
  <c r="V10" i="2"/>
  <c r="W10" i="2" s="1"/>
  <c r="V9" i="2"/>
  <c r="W9" i="2" s="1"/>
  <c r="V8" i="2"/>
  <c r="W8" i="2" s="1"/>
  <c r="M20" i="2"/>
  <c r="O20" i="2" s="1"/>
  <c r="P20" i="2" s="1"/>
  <c r="M33" i="2"/>
  <c r="O33" i="2" s="1"/>
  <c r="P33" i="2" s="1"/>
  <c r="M32" i="2"/>
  <c r="O32" i="2" s="1"/>
  <c r="P32" i="2" s="1"/>
  <c r="M31" i="2"/>
  <c r="O31" i="2" s="1"/>
  <c r="P31" i="2" s="1"/>
  <c r="M30" i="2"/>
  <c r="O30" i="2" s="1"/>
  <c r="P30" i="2" s="1"/>
  <c r="M29" i="2"/>
  <c r="O29" i="2" s="1"/>
  <c r="P29" i="2" s="1"/>
  <c r="M27" i="2"/>
  <c r="O27" i="2" s="1"/>
  <c r="P27" i="2" s="1"/>
  <c r="M26" i="2"/>
  <c r="O26" i="2" s="1"/>
  <c r="P26" i="2" s="1"/>
  <c r="M25" i="2"/>
  <c r="O25" i="2" s="1"/>
  <c r="P25" i="2" s="1"/>
  <c r="M24" i="2"/>
  <c r="O24" i="2" s="1"/>
  <c r="P24" i="2" s="1"/>
  <c r="M23" i="2"/>
  <c r="O23" i="2" s="1"/>
  <c r="P23" i="2" s="1"/>
  <c r="M22" i="2"/>
  <c r="O22" i="2" s="1"/>
  <c r="P22" i="2" s="1"/>
  <c r="M21" i="2"/>
  <c r="O21" i="2" s="1"/>
  <c r="P21" i="2" s="1"/>
  <c r="M19" i="2"/>
  <c r="O19" i="2" s="1"/>
  <c r="P19" i="2" s="1"/>
  <c r="M18" i="2"/>
  <c r="O18" i="2" s="1"/>
  <c r="P18" i="2" s="1"/>
  <c r="M17" i="2"/>
  <c r="O17" i="2" s="1"/>
  <c r="P17" i="2" s="1"/>
  <c r="M16" i="2"/>
  <c r="O16" i="2" s="1"/>
  <c r="P16" i="2" s="1"/>
  <c r="M15" i="2"/>
  <c r="O15" i="2" s="1"/>
  <c r="P15" i="2" s="1"/>
  <c r="M14" i="2"/>
  <c r="O14" i="2" s="1"/>
  <c r="P14" i="2" s="1"/>
  <c r="M13" i="2"/>
  <c r="O13" i="2" s="1"/>
  <c r="P13" i="2" s="1"/>
  <c r="M12" i="2"/>
  <c r="O12" i="2" s="1"/>
  <c r="P12" i="2" s="1"/>
  <c r="M11" i="2"/>
  <c r="O11" i="2" s="1"/>
  <c r="P11" i="2" s="1"/>
  <c r="M10" i="2"/>
  <c r="O10" i="2" s="1"/>
  <c r="P10" i="2" s="1"/>
  <c r="M9" i="2"/>
  <c r="O9" i="2" s="1"/>
  <c r="P9" i="2" s="1"/>
  <c r="M8" i="2"/>
  <c r="O8" i="2" s="1"/>
  <c r="P8" i="2" s="1"/>
  <c r="M7" i="2"/>
  <c r="O7" i="2" s="1"/>
  <c r="P7" i="2" s="1"/>
  <c r="H9" i="2"/>
  <c r="G18" i="2" l="1"/>
  <c r="G17" i="2"/>
  <c r="G13" i="2"/>
  <c r="G8" i="2"/>
  <c r="G9" i="2"/>
  <c r="G10" i="2"/>
  <c r="G11" i="2"/>
  <c r="G7" i="2"/>
  <c r="D8" i="2"/>
  <c r="D9" i="2"/>
  <c r="D10" i="2"/>
  <c r="D11" i="2"/>
  <c r="D12" i="2"/>
  <c r="D13" i="2"/>
  <c r="D14" i="2"/>
  <c r="D15" i="2"/>
  <c r="D16" i="2"/>
  <c r="D17" i="2"/>
  <c r="D18" i="2"/>
  <c r="D19" i="2"/>
  <c r="D20" i="2"/>
  <c r="D21" i="2"/>
  <c r="D22" i="2"/>
  <c r="D23" i="2"/>
  <c r="D24" i="2"/>
  <c r="D25" i="2"/>
  <c r="D26" i="2"/>
  <c r="D27" i="2"/>
  <c r="D28" i="2"/>
  <c r="D29" i="2"/>
  <c r="D30" i="2"/>
  <c r="D31" i="2"/>
  <c r="D32" i="2"/>
  <c r="D7" i="2"/>
  <c r="H8" i="2"/>
  <c r="H10" i="2"/>
  <c r="H11" i="2"/>
  <c r="H12" i="2"/>
  <c r="H13" i="2"/>
  <c r="H14" i="2"/>
  <c r="H15" i="2"/>
  <c r="H16" i="2"/>
  <c r="H17" i="2"/>
  <c r="H18" i="2"/>
  <c r="H19" i="2"/>
  <c r="H20" i="2"/>
  <c r="H21" i="2"/>
  <c r="H22" i="2"/>
  <c r="H23" i="2"/>
  <c r="H24" i="2"/>
  <c r="H25" i="2"/>
  <c r="H26" i="2"/>
  <c r="H27" i="2"/>
  <c r="H28" i="2"/>
  <c r="H29" i="2"/>
  <c r="H30" i="2"/>
  <c r="H31" i="2"/>
  <c r="H32" i="2"/>
  <c r="H7" i="2"/>
  <c r="P37" i="2" l="1"/>
</calcChain>
</file>

<file path=xl/sharedStrings.xml><?xml version="1.0" encoding="utf-8"?>
<sst xmlns="http://schemas.openxmlformats.org/spreadsheetml/2006/main" count="1402" uniqueCount="656">
  <si>
    <t>ENTREGÁVEIS SEGUNDO ANO - ERM</t>
  </si>
  <si>
    <t>STATUS</t>
  </si>
  <si>
    <t>Plano de ação</t>
  </si>
  <si>
    <t>Responsabilidades</t>
  </si>
  <si>
    <t>Observação</t>
  </si>
  <si>
    <t>Prazo</t>
  </si>
  <si>
    <t>carta</t>
  </si>
  <si>
    <t>ITEM</t>
  </si>
  <si>
    <t>ÁREA</t>
  </si>
  <si>
    <t>PERIODICIDADE</t>
  </si>
  <si>
    <t>DESCRIÇÃO</t>
  </si>
  <si>
    <t>4.6 OUTROS RELATÓRIOS (PER)</t>
  </si>
  <si>
    <t>GAU/MANUT</t>
  </si>
  <si>
    <t>ANUAL (A PARTIR DO 2º ANO)</t>
  </si>
  <si>
    <t xml:space="preserve">Relatório com o resultado da aferição de todas as balanças fixas de acordo com a regulamentação do INMETRO </t>
  </si>
  <si>
    <t>CONCLUÍDO</t>
  </si>
  <si>
    <t>Vini</t>
  </si>
  <si>
    <t>APENDICE C - QUANTITATIVOS MÍNIMOS DAS INSTALAÇÕES E EQUIPAMENTOS DE OPERAÇÃO (PER)</t>
  </si>
  <si>
    <t>GAU</t>
  </si>
  <si>
    <t>2º ANO</t>
  </si>
  <si>
    <t>DISPONIBILIZAR 4 VEÍCULOS À PRF</t>
  </si>
  <si>
    <t>25.4 E 25.4.1 (CONTRATO)</t>
  </si>
  <si>
    <t>GAC</t>
  </si>
  <si>
    <t>ÚNICA</t>
  </si>
  <si>
    <r>
      <t xml:space="preserve">25.4 - Em até </t>
    </r>
    <r>
      <rPr>
        <b/>
        <sz val="11"/>
        <color theme="1"/>
        <rFont val="Century Gothic"/>
        <family val="2"/>
        <scheme val="minor"/>
      </rPr>
      <t>2 (dois) anos a partir da Data da Assunção</t>
    </r>
    <r>
      <rPr>
        <sz val="11"/>
        <color theme="1"/>
        <rFont val="Century Gothic"/>
        <family val="2"/>
        <scheme val="minor"/>
      </rPr>
      <t xml:space="preserve">, a Concessionária deverá registrar-se como companhia de capital aberto junto à CVM, mantendo tal condição durante todo o Prazo da Concessão, incluindo eventual prorrogação.
25.4.1 - A Concessionária deverá encaminhar à ANTT, </t>
    </r>
    <r>
      <rPr>
        <b/>
        <sz val="11"/>
        <color theme="1"/>
        <rFont val="Century Gothic"/>
        <family val="2"/>
        <scheme val="minor"/>
      </rPr>
      <t>até o final do 25° (vigésimo quinto)</t>
    </r>
    <r>
      <rPr>
        <sz val="11"/>
        <color theme="1"/>
        <rFont val="Century Gothic"/>
        <family val="2"/>
        <scheme val="minor"/>
      </rPr>
      <t xml:space="preserve"> mês de vigência da Concessão, a comprovação de abertura do capital.</t>
    </r>
  </si>
  <si>
    <t>Isa</t>
  </si>
  <si>
    <t>8.1.1 - OBRAS E SERVIÇOS (CONTRATO)</t>
  </si>
  <si>
    <t>CSU</t>
  </si>
  <si>
    <r>
      <t>(i) a Concessionária deverá implantar Sistema de Gestão da Qualidade, com base na norma ABNT NBR ISO 9001 e, no</t>
    </r>
    <r>
      <rPr>
        <b/>
        <sz val="11"/>
        <color theme="1"/>
        <rFont val="Century Gothic"/>
        <family val="2"/>
        <scheme val="minor"/>
      </rPr>
      <t xml:space="preserve"> prazo máximo de 2 (dois) anos contados da Data da Assunção</t>
    </r>
    <r>
      <rPr>
        <sz val="11"/>
        <color theme="1"/>
        <rFont val="Century Gothic"/>
        <family val="2"/>
        <scheme val="minor"/>
      </rPr>
      <t xml:space="preserve">, apresentar certificado de conformidade emitido por organismo de certificação acreditado pelo Inmetro;
(ii) a Concessionária deverá implantar Sistema de Gestão Ambiental, com base na norma ABNT NBR ISO 14001 e, no </t>
    </r>
    <r>
      <rPr>
        <b/>
        <sz val="11"/>
        <color theme="1"/>
        <rFont val="Century Gothic"/>
        <family val="2"/>
        <scheme val="minor"/>
      </rPr>
      <t>prazo máximo de 2 (dois) anos contados da Data da Assunção</t>
    </r>
    <r>
      <rPr>
        <sz val="11"/>
        <color theme="1"/>
        <rFont val="Century Gothic"/>
        <family val="2"/>
        <scheme val="minor"/>
      </rPr>
      <t xml:space="preserve">, apresentar certificado de conformidade emitido por organismo de certificação acreditado pelo Inmetro; 
(iii) a Concessionária deverá implantar Sistema de Gestão de Segurança Viária, com base na norma ABNT NBR ISO 39001 e, no </t>
    </r>
    <r>
      <rPr>
        <b/>
        <sz val="11"/>
        <color theme="1"/>
        <rFont val="Century Gothic"/>
        <family val="2"/>
        <scheme val="minor"/>
      </rPr>
      <t>prazo máximo de 2 (dois) anos contados da Data da Assunção</t>
    </r>
    <r>
      <rPr>
        <sz val="11"/>
        <color theme="1"/>
        <rFont val="Century Gothic"/>
        <family val="2"/>
        <scheme val="minor"/>
      </rPr>
      <t>, apresentar certificado de conformidade emitido por organismo de certificação acreditado pelo Inmetro.</t>
    </r>
  </si>
  <si>
    <t>4.9.3 - SIGACO FASES DE IMPLANTAÇÃO (PER)</t>
  </si>
  <si>
    <t>GEN/FXD/MANUT</t>
  </si>
  <si>
    <r>
      <t xml:space="preserve">Escopo: Implantação, testes e disponibilização das demais ferramentas do sistema. 
</t>
    </r>
    <r>
      <rPr>
        <b/>
        <sz val="11"/>
        <color theme="1"/>
        <rFont val="Century Gothic"/>
        <family val="2"/>
        <scheme val="minor"/>
      </rPr>
      <t>Prazo: Até 24 meses do início da concessão.</t>
    </r>
    <r>
      <rPr>
        <sz val="11"/>
        <color theme="1"/>
        <rFont val="Century Gothic"/>
        <family val="2"/>
        <scheme val="minor"/>
      </rPr>
      <t xml:space="preserve">
A partir da implementação do SIGACO, a Concessionária deverá apresentar à ANTT, o Plano de Gestão de Ativos atualizado a cada 5 anos, contemplando o aprimoramento dos modelos de desempenho.</t>
    </r>
  </si>
  <si>
    <t>CONCLUIDO</t>
  </si>
  <si>
    <t>Elaborar correspondência indicando a entrega da Fase 3 do SIGACO (fiscais já possuem acesso à plataforma)</t>
  </si>
  <si>
    <t>Lucas Comarela ( Lure)</t>
  </si>
  <si>
    <t>Decidido a nível de diretoria a não entrega de alguns item solicitados no SIGACO:
Vida útil dos elementos da rodovia.</t>
  </si>
  <si>
    <t>Lucas</t>
  </si>
  <si>
    <t>5 - GESTÃO AMBIENTAL (PER)</t>
  </si>
  <si>
    <r>
      <t xml:space="preserve">A Concessionária deverá implantar, </t>
    </r>
    <r>
      <rPr>
        <b/>
        <sz val="11"/>
        <color theme="1"/>
        <rFont val="Century Gothic"/>
        <family val="2"/>
        <scheme val="minor"/>
      </rPr>
      <t>até o final do 24º mês da Concessão,</t>
    </r>
    <r>
      <rPr>
        <sz val="11"/>
        <color theme="1"/>
        <rFont val="Century Gothic"/>
        <family val="2"/>
        <scheme val="minor"/>
      </rPr>
      <t xml:space="preserve"> um Sistema de Gestão Ambiental, 
com base na norma NBR ISO 14.001, e suas atualizações , o que será comprovado mediante apresentação 
de certificado de entidade credenciada, que deve ser renovado conforme exigido em norma ou validade 
definida no certificado.</t>
    </r>
  </si>
  <si>
    <t>3.4.2.6 SISTEMA DE DETECÇÃO DE ALTURA (PER)</t>
  </si>
  <si>
    <t>Implantação de sistema de detecção de altura junto à entrada de todos os postos de pesagem fixos.</t>
  </si>
  <si>
    <t>ELABORAR CARTA JUSTIFICANDO A ENTREGA DOS DETECTORES CONCOMITANTEMENTE AOS PPVs POSTERGADOS</t>
  </si>
  <si>
    <t>3.4.4.5 - PPDs (PER)</t>
  </si>
  <si>
    <t>GEN</t>
  </si>
  <si>
    <t>Disponibilização de Pontos de Parada e Descanso (PPDs) para motoristas profissionais, conforme disciplina a Lei nº 13.103, de 2 de março de 2015, sendo:
 1 (um) na BR-116/MG e 1 (um) na BR-116/RJ, com no mínimo 70 vagas cada, e 600 m2 de área edificada; totalizando 140 (cento e quarenta) vagas ofertadas no Sistema Rodoviário.</t>
  </si>
  <si>
    <t>RJ - OK
MG - Tibiriça alinhará a estratégia com Mari e Julio acerca de possível atraso na entrega do PPD</t>
  </si>
  <si>
    <t>Tiago Tibiriça</t>
  </si>
  <si>
    <t>3.4.10 - POSTOS DE FISCALIZAÇÃO ANTT CONSTRUÇÃO</t>
  </si>
  <si>
    <t>Construção de Posto de Fiscalização da ANTT, com área total mínima de 800 m2,  sendo no mínimo 170 m2 de área edificada, no mínimo 50 m2 de área de estacionamento coberto e no mínimo 150 m2 de área de estacionamento descoberto, ambos pavimentados.</t>
  </si>
  <si>
    <t>Cartas reiterando a autorização excepcional da ANTT já enviadas à ANTT -  ultimo protocolo realizado em 13/09/2024.</t>
  </si>
  <si>
    <t>Vinicius</t>
  </si>
  <si>
    <t>Aguardar</t>
  </si>
  <si>
    <t>3.4.12 - UOPs e DELs PRF CONSTRUÇÃO</t>
  </si>
  <si>
    <t>Construção, Reforma e Ampliação, Reconstrução ou Demolição de UOPs e delegacias da PRF, conforme definidos nos itens 3.1.7 e 3.3.7.</t>
  </si>
  <si>
    <t>Contextualizar à ANTT que houve nova manifestação à PRF e será necessária nova análise da Concessionária acerca do atendimento do item solicitado pela PRF, fator este, sendo um impeditivo para a manifestação assertiva da concessionária ( Lucas enviou no chat ofício suspendendo a obrigação por necessidade de análise)</t>
  </si>
  <si>
    <t>Vinicius/GEN</t>
  </si>
  <si>
    <t>PRF indicou necessidade de novo ajuste às edificações (estrutura no qual ajuste é solicitado não está arrolada à EcoRioMinas)</t>
  </si>
  <si>
    <t>3.2.6 - Relatório de Inspeção de Segurança Rodoviário (ISR) – Metodologia iRAP</t>
  </si>
  <si>
    <t>CONSERVA</t>
  </si>
  <si>
    <t>ÚNICA E DURANTE A REV. QUINQUENAL</t>
  </si>
  <si>
    <r>
      <t>A Avaliação de Segurança Viária do Sistema Rodovário deverá ser realizada e entregue à ANTT</t>
    </r>
    <r>
      <rPr>
        <b/>
        <sz val="11"/>
        <color theme="1"/>
        <rFont val="Century Gothic"/>
        <family val="2"/>
        <scheme val="minor"/>
      </rPr>
      <t xml:space="preserve"> até o final 
do 2º (segundo) ano da Concessão</t>
    </r>
    <r>
      <rPr>
        <sz val="11"/>
        <color theme="1"/>
        <rFont val="Century Gothic"/>
        <family val="2"/>
        <scheme val="minor"/>
      </rPr>
      <t xml:space="preserve"> e atualizada a cada 5 (cinco) anos durante a Revisão Quinquenal. A 
Avaliação de Segurança Viária deverá ser contemplar 3 etapas, quais sejam: (i) levantamentos, (ii) codificação 
e (iii) relatório final certificado.</t>
    </r>
  </si>
  <si>
    <t>O protocolo do relatório final do iRAP atende à respectiva obrigação contratual (Enviar carta referenciando a carta protocolada com entrega do material).</t>
  </si>
  <si>
    <t>ok</t>
  </si>
  <si>
    <t>ANUAL</t>
  </si>
  <si>
    <r>
      <t xml:space="preserve">O Relatório de Inspeção de Segurança Rodoviária (ISR) será aplicado a todo o Sistema Rodoviário da Concessão, de acordo com a Avaliação de Segurança Viária.
</t>
    </r>
    <r>
      <rPr>
        <b/>
        <sz val="11"/>
        <color theme="1"/>
        <rFont val="Century Gothic"/>
        <family val="2"/>
        <scheme val="minor"/>
      </rPr>
      <t>O Relatório de Inspeção de Segurança Rodoviário (ISR) deverá ser apresentado junto ao Relatório de Monitoração de Sinistros de Trânsito (Item 4.2.9).</t>
    </r>
  </si>
  <si>
    <t>PENDENTE RELATÓRIO</t>
  </si>
  <si>
    <t>monitoração</t>
  </si>
  <si>
    <t xml:space="preserve">4.2.1. Relatórios de Monitoração de Pavimento </t>
  </si>
  <si>
    <t>Por estratégia de não realizar a monitoração nos períodos de chuva, a Concessinária já está realizando os levantamentos em campo e os relatórios serão enviados até o final de outubro.</t>
  </si>
  <si>
    <t>Disciplina drenagem tem ponto de atenção: pontos analisados pela empresa que está realizando o levantamento em campo está consideravelmente maior do que o previsto pela Concessionária (Irani)</t>
  </si>
  <si>
    <t>Avaliar</t>
  </si>
  <si>
    <t>4.2.2. Relatórios de Monitoração dos Elementos de Sinalização e de Proteção e Segurança (EPS)</t>
  </si>
  <si>
    <t>4.2.3. Relatórios de Monitoração de Obras-de-Arte Especiais (OAEs)</t>
  </si>
  <si>
    <t>4.2.4. Relatórios de Monitoração do Sistema de Drenagem e Obras-de-Arte Correntes (OACs)</t>
  </si>
  <si>
    <t xml:space="preserve">4.2.5. Relatórios de Monitoração de Terraplenos e Estruturas de Contenção </t>
  </si>
  <si>
    <t>4.2.5.1 Monumento Geológico Dedo de Deus (km 91+400 da BR-116/RJ)</t>
  </si>
  <si>
    <t xml:space="preserve">4.2.6. Relatórios de Monitoração de Canteiro Central e Faixa de Domínio </t>
  </si>
  <si>
    <t>FXD</t>
  </si>
  <si>
    <t xml:space="preserve">4.2.7. Relatórios de Monitoração de Instalações Operacionais </t>
  </si>
  <si>
    <t>4.2.8. Relatórios de Monitoração de Sistemas de Iluminação</t>
  </si>
  <si>
    <t>MANUT</t>
  </si>
  <si>
    <t>4.2.9. Relatórios de Monitoração de Sinistros de Trânsito</t>
  </si>
  <si>
    <r>
      <rPr>
        <b/>
        <u/>
        <sz val="11"/>
        <color theme="1"/>
        <rFont val="Century Gothic"/>
        <family val="2"/>
        <scheme val="minor"/>
      </rPr>
      <t>MONIT DEDO DE DEUS</t>
    </r>
    <r>
      <rPr>
        <sz val="11"/>
        <color theme="1"/>
        <rFont val="Century Gothic"/>
        <family val="2"/>
        <scheme val="minor"/>
      </rPr>
      <t>: Após entrega dos estudos obrigatórios no 01º Ano, devido à complexidade da monitoração não é possivel monitoar anualmente conforme destaca o relatório (todo estudo e monitoração acerca deste tema é reequilibrável) - Irá integrar capitulo do relatório de monit de terraplenos</t>
    </r>
  </si>
  <si>
    <t>PROJETOS ECORIOMINAS</t>
  </si>
  <si>
    <t>OBRA</t>
  </si>
  <si>
    <t>ANO</t>
  </si>
  <si>
    <t>LOCAL</t>
  </si>
  <si>
    <t>PROCESSO</t>
  </si>
  <si>
    <t>ANTEPROJETO/ESTUDO</t>
  </si>
  <si>
    <t>INÍCIO PRELIMINAR OBRA</t>
  </si>
  <si>
    <t>EXECUTIVO</t>
  </si>
  <si>
    <t>INÍCIO OBRA</t>
  </si>
  <si>
    <t>EXECUTIVO CERTIFICADO</t>
  </si>
  <si>
    <t>FINAL DE OBRA</t>
  </si>
  <si>
    <t>AS BUILT</t>
  </si>
  <si>
    <t>CERTIFICADO OBRA</t>
  </si>
  <si>
    <t>ACEITE ENTREGA OBRA</t>
  </si>
  <si>
    <t>DUP</t>
  </si>
  <si>
    <t>DATA DE ENVIO</t>
  </si>
  <si>
    <t>CARTA</t>
  </si>
  <si>
    <t>Nº SEI</t>
  </si>
  <si>
    <t>DOC APROVAÇÃO</t>
  </si>
  <si>
    <t>DATA DE SOLICITAÇÃO</t>
  </si>
  <si>
    <t>DATA INÍCIO</t>
  </si>
  <si>
    <t>DATA SOLICITAÇÃO</t>
  </si>
  <si>
    <t>DATA CONCLUSÃO</t>
  </si>
  <si>
    <t>OBS</t>
  </si>
  <si>
    <t>BSOs</t>
  </si>
  <si>
    <t>ERM - GEN 0130/2024</t>
  </si>
  <si>
    <t>OFÍCIO SEI Nº 33922/2022/CPROJ/GEENG</t>
  </si>
  <si>
    <t>-</t>
  </si>
  <si>
    <t>ERM - GEN 0329/2022</t>
  </si>
  <si>
    <t>OFÍCIO SEI Nº 3094/2023/GECON</t>
  </si>
  <si>
    <t>ERM - GAC 0560/2023</t>
  </si>
  <si>
    <t>OFÍCIO SEI Nº 9925/2023/CPROJ/GEENG</t>
  </si>
  <si>
    <t>Praças</t>
  </si>
  <si>
    <t>50500.252652/2022-89</t>
  </si>
  <si>
    <t>ERM – GEN 0215/2022</t>
  </si>
  <si>
    <t>OFÍCIO SEI Nº 36934/2022/CPROJ/GEENG/SUROD/DIR-ANTT</t>
  </si>
  <si>
    <t>ERM – GAC 0113/2023</t>
  </si>
  <si>
    <t>OFÍCIO SEI Nº 3044/2023/GECON/SUROD/DIR-ANTT</t>
  </si>
  <si>
    <t xml:space="preserve"> ERM – GAC 0236/2023</t>
  </si>
  <si>
    <t>OFÍCIO SEI Nº 27719/2023/COPER/GEGIR/SUROD/DIR-ANTT</t>
  </si>
  <si>
    <t>ERM – GAC 0475/2022</t>
  </si>
  <si>
    <t>50500.247529/2022-46</t>
  </si>
  <si>
    <t>ERM – GEN 0196/2022</t>
  </si>
  <si>
    <t>OFÍCIO SEI Nº 38390/2022/CPROJ/GEENG/SUROD/DIR-ANTT</t>
  </si>
  <si>
    <t>ERM-GEN 0114/2023</t>
  </si>
  <si>
    <t>OFÍCIO SEI Nº 3574/2023/GECON/SUROD/DIR-ANTT_x000D_</t>
  </si>
  <si>
    <t>50500.247585/2022-81</t>
  </si>
  <si>
    <t>50500.249093/2022-20</t>
  </si>
  <si>
    <t>50500.249106/2022-61</t>
  </si>
  <si>
    <t>50500.252925/2022-95</t>
  </si>
  <si>
    <t>50500.253008/2022-28</t>
  </si>
  <si>
    <t>50500.253135/2022-27</t>
  </si>
  <si>
    <t>50500.249136/2022-77</t>
  </si>
  <si>
    <t>50500.253139/2022-13_x000D_</t>
  </si>
  <si>
    <t>ERM - GEN 0219/2022</t>
  </si>
  <si>
    <t>OFÍCIO SEI Nº 1322/2023/CPROJ/GEENG/SUROD/DIR-ANTT</t>
  </si>
  <si>
    <t>OFÍCIO SEI Nº 1759/2023/GECON/SUROD/DIR-ANTT</t>
  </si>
  <si>
    <t>ERM - GAC 0635/2023</t>
  </si>
  <si>
    <t>ERM - GAC 0258/2023</t>
  </si>
  <si>
    <t>ERM - GAC 1047/2023</t>
  </si>
  <si>
    <t>OFÍCIO SEI Nº 16776/2023/COGEC-I/GECON/SUROD/DIR-ANTT</t>
  </si>
  <si>
    <t>ERM - GAC 2010/2023</t>
  </si>
  <si>
    <t>OFÍCIO SEI Nº 31961/2023/CPROJ/GEENG/SUROD/DIR-ANTT</t>
  </si>
  <si>
    <t>ERM - GAC 2264/2023</t>
  </si>
  <si>
    <t>ERM - GEN 3331/2023</t>
  </si>
  <si>
    <t>ERM - GEN 2794/2024</t>
  </si>
  <si>
    <t>OFÍCIO SEI Nº 28301/2024/SUDESTE/COROD/GEFOP/SUROD/DIR-ANTT</t>
  </si>
  <si>
    <t>SHs</t>
  </si>
  <si>
    <t>50500.059176/2024-91</t>
  </si>
  <si>
    <t xml:space="preserve"> ERM – GEN 2577/2024</t>
  </si>
  <si>
    <t>OFÍCIO SEI Nº 36090/2024/CPROJ/GEENG/SUROD/DIR-ANTT</t>
  </si>
  <si>
    <t xml:space="preserve">10/01/2025	</t>
  </si>
  <si>
    <t>ERM – GEN 0057/2025_x000D_</t>
  </si>
  <si>
    <t>Não recebido</t>
  </si>
  <si>
    <t>ERM - GEN 0057/2025</t>
  </si>
  <si>
    <t>OFÍCIO SEI Nº 19803/2025/COPER/GEGIR/SUROD/DIR-ANTT</t>
  </si>
  <si>
    <t>50505.124298/2024-15</t>
  </si>
  <si>
    <t>ERM GEN 2752/2024</t>
  </si>
  <si>
    <t>DECISÃO SUROD Nº 28 DE 16 DE JANEIRO DE 2025</t>
  </si>
  <si>
    <t>• Solicitação de remoção de interferência em 20/09/2024
• Solicitado início da obra em 08/01/2025</t>
  </si>
  <si>
    <t>50500.059487/2024-50</t>
  </si>
  <si>
    <t>ERM – GEN 0496/2024</t>
  </si>
  <si>
    <t>OFÍCIO SEI Nº 37737/2024/CPROJ/GEENG/SUROD/DIR-ANTT_x000D_</t>
  </si>
  <si>
    <t>Não solicitado</t>
  </si>
  <si>
    <t>ERM – GEN 0271/2025</t>
  </si>
  <si>
    <t>DECISÃO SUROD N° 201, DE 28 DE MARÇO DE 2025</t>
  </si>
  <si>
    <t>50505.124297/2024-71</t>
  </si>
  <si>
    <t>ERM – GEN 0112/2025</t>
  </si>
  <si>
    <t>DECISÃO SUROD Nº 63 DE 31 DE JANEIRO DE 2025</t>
  </si>
  <si>
    <t>• Solicitação de remoção de interferência em 20/09/2024
• Prazo para apresentação do projeto executivo: 03/06/2025</t>
  </si>
  <si>
    <t>50500.109204/2024-28</t>
  </si>
  <si>
    <t>ERM - GEN 3146/2024</t>
  </si>
  <si>
    <t>OFÍCIO SEI Nº 35681/2024/CPROJ/GEENG/SUROD/DIR-ANTT_x000D_</t>
  </si>
  <si>
    <t>ERM – GAC 3402/2024</t>
  </si>
  <si>
    <t>OFÍCIO SEI Nº 38795/2024/COPER/GEGIR/SUROD/DIR-ANTT</t>
  </si>
  <si>
    <t>ERM – GEN 3462/2024</t>
  </si>
  <si>
    <t>ERM – GEN 3402/2024</t>
  </si>
  <si>
    <t>OFÍCIO SEI Nº 2994/2025/COPER/GEGIR/SUROD/DIR-ANTT
(Autorização de Início de Obra nº 377/2025 - Nº SEI 29365095)</t>
  </si>
  <si>
    <t>ERM – GEN 0272/2025</t>
  </si>
  <si>
    <t>50505.111777/2024-71</t>
  </si>
  <si>
    <t>ERM - GEN 2581/2024</t>
  </si>
  <si>
    <t>OFÍCIO CIRCULAR_SEI Nº 5235/2024/UFT - DCOMP-SEGER/SEGER/GAB-DG/DG-ANTT</t>
  </si>
  <si>
    <t>• Pedido da Declaração de Utilidade Pública para desapropriação 
de áreas necessárias às Obras de Ampliação e Melhorias: 08/11/2024
• Autorização para início preliminar de obra concedida em 28/01/205</t>
  </si>
  <si>
    <t>50500.109210/2024-85</t>
  </si>
  <si>
    <t>ERM - GEN 3147/2024</t>
  </si>
  <si>
    <t>OFÍCIO SEI Nº 35356/2024/CPROJ/GEENG/SUROD/DIR-ANTT</t>
  </si>
  <si>
    <t>ERM - GAC 3403/2024</t>
  </si>
  <si>
    <t>OFÍCIO SEI Nº 35882/2024/COPER/GEGIR/SUROD/DIR-ANTT</t>
  </si>
  <si>
    <t>ERM – GEN 3463/2024</t>
  </si>
  <si>
    <t>OFÍCIO SEI Nº 38758/2024/COPER/GEGIR/SUROD/DIR-ANTT</t>
  </si>
  <si>
    <t>ERM - GEN 3972/2024</t>
  </si>
  <si>
    <t>OFÍCIO SEI Nº 3011/2025/COPER/GEGIR/SUROD/DIR-ANTT
(Autorização de Início de Obra nº 380/2025 - Nº SEI 29366610)</t>
  </si>
  <si>
    <t>ERM – GEN 0268/2025</t>
  </si>
  <si>
    <t>50505.111823/2024-32</t>
  </si>
  <si>
    <t>ERM - GEN 2582/2024</t>
  </si>
  <si>
    <t>50500.109179/2024-82</t>
  </si>
  <si>
    <t>ERM - GEN 3148/2024</t>
  </si>
  <si>
    <t>OFÍCIO SEI Nº 35970/2024/CPROJ/GEENG/SUROD/DIR-ANTT</t>
  </si>
  <si>
    <t>ERM - GAC 3404/2024</t>
  </si>
  <si>
    <t>OFÍCIO SEI Nº 35877/2024/COPER/GEGIR/SUROD/DIR-ANTT</t>
  </si>
  <si>
    <t>ERM - GEN 3493/2024</t>
  </si>
  <si>
    <t>ERM – GEN 3464/2024</t>
  </si>
  <si>
    <t>ERM - GEN 3716/2024</t>
  </si>
  <si>
    <t>OFÍCIO Nº 3019/2025/COPER/GEGIR/SUROD/DIR-ANTT
(Autorização de Início de obra nº 381/2025 - Nº SEI 29367653)</t>
  </si>
  <si>
    <t>ERM – GEN 0273/2025</t>
  </si>
  <si>
    <t>50505.113174/2024-12</t>
  </si>
  <si>
    <t>ERM - GEN 2584/2024</t>
  </si>
  <si>
    <t>50500.058037/2024-40</t>
  </si>
  <si>
    <t>ERM - GEN 2707/2024</t>
  </si>
  <si>
    <t>OFÍCIO SEI Nº 28420/2024/CPROJ/GEENG/SUROD/DIR-ANTT</t>
  </si>
  <si>
    <t>ERM - GEN 1975/2024</t>
  </si>
  <si>
    <t>OFÍCIO SEI Nº 23881/2024/COPER/GEGIR/SUROD/DIR-ANTT</t>
  </si>
  <si>
    <t>ERM - GEN 3212/2024</t>
  </si>
  <si>
    <t>OFÍCIO SEI Nº 36271/2025/CPROJ/GEENG/SUROD/DIR-ANTT</t>
  </si>
  <si>
    <t>50500.168163/2024-10</t>
  </si>
  <si>
    <t>ERM - GEN 2724/2024</t>
  </si>
  <si>
    <t>OFÍCIO SEI Nº 33248/2024/COFAD/GEENG/SUROD/DIR-ANTT</t>
  </si>
  <si>
    <t>50505.002098/2024-11</t>
  </si>
  <si>
    <t>ERM - GEN 3192/2024</t>
  </si>
  <si>
    <t>OFÍCIO SEI Nº 39449/2024/CPROJ/GEENG/SUROD/DIR-ANTT</t>
  </si>
  <si>
    <t>ERM - GEN 1980/2024</t>
  </si>
  <si>
    <t>OFÍCIO SEI Nº 26227/2024/COPER/GEGIR/SUROD/DIR-ANTT</t>
  </si>
  <si>
    <t>ERM – GEN 1419/2025</t>
  </si>
  <si>
    <t>50500.168470/2024-92</t>
  </si>
  <si>
    <t>ERM - GEN 2722/2024</t>
  </si>
  <si>
    <t>50500.058399/2024-31</t>
  </si>
  <si>
    <t xml:space="preserve">28/02/2024	</t>
  </si>
  <si>
    <t>ERM - GEN 0406/2024</t>
  </si>
  <si>
    <t xml:space="preserve">22034845	</t>
  </si>
  <si>
    <t>OFÍCIO SEI Nº 26226/2024/COPER/GEGIR/SUROD/DIR-ANTT</t>
  </si>
  <si>
    <t>ERM - GEN 1981/2024</t>
  </si>
  <si>
    <t>ERM - GEN 1502/2025</t>
  </si>
  <si>
    <t>50500.168240/2024-23</t>
  </si>
  <si>
    <t>ERM - GEN 2723/2024</t>
  </si>
  <si>
    <t>50500.057259/2024-45</t>
  </si>
  <si>
    <t xml:space="preserve">27/02/2024	</t>
  </si>
  <si>
    <t>ERM – GEN 0407/2024</t>
  </si>
  <si>
    <t>OFÍCIO SEI Nº 40715/2024/CPROJ/GEENG/SUROD/DIR-ANTT</t>
  </si>
  <si>
    <t>ERM - GEN 1982/2024</t>
  </si>
  <si>
    <t>OFÍCIO SEI Nº 26229/2024/COPER/GEGIR/SUROD/DIR-ANTT</t>
  </si>
  <si>
    <t>ERM - GEN 1505/2025</t>
  </si>
  <si>
    <t>50500.168432/2024-30</t>
  </si>
  <si>
    <t>ERM - GEN 2721/2024</t>
  </si>
  <si>
    <t xml:space="preserve"> 50500.057855/2024-25</t>
  </si>
  <si>
    <t>ERM - GEN 3143/2024</t>
  </si>
  <si>
    <t>OFÍCIO SEI Nº 38712/2024/CPROJ/GEENG/SUROD/DIR-ANTT</t>
  </si>
  <si>
    <t>ERM - GEN 1983/2024</t>
  </si>
  <si>
    <t>OFÍCIO SEI Nº 20748/2024/COPER/GEGIR/SUROD/DIR-ANTT</t>
  </si>
  <si>
    <t>ERM - GEN 2144/2024</t>
  </si>
  <si>
    <t>ERM – GEN 1420/2025</t>
  </si>
  <si>
    <t>OFÍCIO SEI Nº 35294/2025/CPROJ/GEENG/SUROD/DIR-ANTT</t>
  </si>
  <si>
    <t>50500.168548/2024-79</t>
  </si>
  <si>
    <t>ERM - GEN 2725/2024</t>
  </si>
  <si>
    <t>50500.057100/2024-21</t>
  </si>
  <si>
    <t>ERM - GEN 2405/2024</t>
  </si>
  <si>
    <t>OFÍCIO SEI Nº 34242/2024/CPROJ/GEENG/SUROD/DIR-ANTT</t>
  </si>
  <si>
    <t>ERM - GEN 1984/2024</t>
  </si>
  <si>
    <t>OFÍCIO SEI Nº 20660/2024/COPER/GEGIR/SUROD/DIR-ANTT</t>
  </si>
  <si>
    <t>ERM - GEN 2143/2024</t>
  </si>
  <si>
    <t>ERM - GEN 3459/2024</t>
  </si>
  <si>
    <t>OFÍCIO SEI Nº 820/2025/COPER/GEGIR/SUROD/DIR-ANTT</t>
  </si>
  <si>
    <t>50500.168067/2024-63</t>
  </si>
  <si>
    <t>ERM - GEN 2720/2024</t>
  </si>
  <si>
    <t>50500.056040/2024-29</t>
  </si>
  <si>
    <t>ERM - GEN 0411/2024</t>
  </si>
  <si>
    <t>OFÍCIO SEI Nº 27562/2024/CPROJ/GEENG/SUROD/DIR-ANTT</t>
  </si>
  <si>
    <t>ERM - GEN 1985/2024</t>
  </si>
  <si>
    <t>OFÍCIO SEI Nº 20725/2024/COPER/GEGIR/SUROD/DIR-ANTT</t>
  </si>
  <si>
    <t>ERM - GEN 2146/2024</t>
  </si>
  <si>
    <t>ERM - GEN 2867/2024</t>
  </si>
  <si>
    <t>OFÍCIO SEI Nº 913/2025/COPER/GEGIR/SUROD/DIR-ANTT</t>
  </si>
  <si>
    <t>50500.164005/2024-82</t>
  </si>
  <si>
    <t>ERM - GAC 2457/2024</t>
  </si>
  <si>
    <t>OFÍCIO SEI Nº 30273/2024/COFAD/GEENG/SUROD/DIR-ANTT</t>
  </si>
  <si>
    <t>50500.056070/2024-35</t>
  </si>
  <si>
    <t>ERM - GEN 0412/2024</t>
  </si>
  <si>
    <t>OFÍCIO SEI Nº 26370/2024/CPROJ/GEENG/SUROD/DIR-ANTT</t>
  </si>
  <si>
    <t>ERM - GEN 1986/2024</t>
  </si>
  <si>
    <t>OFÍCIO SEI Nº 20744/2024/COPER/GEGIR/SUROD/DIR-ANTT</t>
  </si>
  <si>
    <t>ERM - GEN 2145/2024</t>
  </si>
  <si>
    <t>ERM - GEN 3896/2024</t>
  </si>
  <si>
    <t>OFÍCIO SEI Nº 909/2025/COPER/GEGIR/SUROD/DIR-ANTT</t>
  </si>
  <si>
    <t>ERM - GEN 2760/2024</t>
  </si>
  <si>
    <t>50500.163372/2024-69</t>
  </si>
  <si>
    <t>ERM - GEN 2456/2024</t>
  </si>
  <si>
    <t>OFÍCIO SEI Nº 32043/2024/COFAD/GEENG/SUROD/DIR-ANTT</t>
  </si>
  <si>
    <t>50505.015173/2025-86</t>
  </si>
  <si>
    <t>ERM - GEN 0619/2025</t>
  </si>
  <si>
    <t>OFÍCIO SEI Nº 19332/2025/CPROJ/GEENG/SUROD/DIR-ANTT</t>
  </si>
  <si>
    <t>ERM - GEN 1806/2025</t>
  </si>
  <si>
    <t>ERM - GEN 1804/2025</t>
  </si>
  <si>
    <t>ERM - GEN 683/2025</t>
  </si>
  <si>
    <t>DECISÃO SUROD N° 683, DE 26 DE JUNHO DE 2025</t>
  </si>
  <si>
    <t xml:space="preserve">33332562	</t>
  </si>
  <si>
    <t>50505.014889/2025-66</t>
  </si>
  <si>
    <t>ERM – GEN 0620/2025</t>
  </si>
  <si>
    <t>OFÍCIO SEI Nº 23949/2025/CPROJ/GEENG/SUROD/DIR-ANTT</t>
  </si>
  <si>
    <t>ERM - GEN 1813/2025</t>
  </si>
  <si>
    <t>PPVs</t>
  </si>
  <si>
    <t>Magé/RJ</t>
  </si>
  <si>
    <t>50500.141411/2023-96</t>
  </si>
  <si>
    <t>ERM - GAC 1021/2023</t>
  </si>
  <si>
    <t>ERM - GEN 1098/2024</t>
  </si>
  <si>
    <t>Caratinga/MG</t>
  </si>
  <si>
    <t>ERM - GEN 1097/2024</t>
  </si>
  <si>
    <t>Posto ANTT</t>
  </si>
  <si>
    <t>km 165</t>
  </si>
  <si>
    <t>50500.018004/2024-67</t>
  </si>
  <si>
    <t>ERM - GEN 0146/2024</t>
  </si>
  <si>
    <t>OFÍCIO SEI Nº 22739/2024/CPROJ/GEENG/SUROD/DIR-ANTT</t>
  </si>
  <si>
    <t xml:space="preserve">16/07/2024	</t>
  </si>
  <si>
    <t>ERM - GAC 2116/2024</t>
  </si>
  <si>
    <t>OFÍCIO SEI Nº 25967/2024/COPER/GEGIR/SUROD/DIR-ANTT</t>
  </si>
  <si>
    <t>ERM - GEN 2588/2024</t>
  </si>
  <si>
    <t>ERM - GAC 2786/2024</t>
  </si>
  <si>
    <t>OFÍCIO SEI Nº 31949/2024/COPER/GEGIR/SUROD/DIR-ANTT</t>
  </si>
  <si>
    <t>ERM - GEN 2884/2024</t>
  </si>
  <si>
    <t>TERMO DE ENCERRAMENTO DE OBRAS - SUROD</t>
  </si>
  <si>
    <t>PPDs</t>
  </si>
  <si>
    <t>Seropédica/RJ</t>
  </si>
  <si>
    <t>50500.325268/2023-93</t>
  </si>
  <si>
    <t>ERM - GAC 2649/2023</t>
  </si>
  <si>
    <t>OFÍCIO SEI Nº 3083/2024/CPROJ/GEENG/SUROD/DIR-ANTT</t>
  </si>
  <si>
    <t>ERM - GEN 0898/2024</t>
  </si>
  <si>
    <t>OFÍCIO SEI Nº 12532/2024/COPER/GEGIR/SUROD/DIR-ANTT</t>
  </si>
  <si>
    <t>ERM - GEN 1363/2024</t>
  </si>
  <si>
    <t>ERM - GEN 2895/2024</t>
  </si>
  <si>
    <t>Ubaporanga/MG</t>
  </si>
  <si>
    <t>50500.302179/2023-79</t>
  </si>
  <si>
    <t>ERM - GAC 2280/2023</t>
  </si>
  <si>
    <t>OFÍCIO SEI Nº 2731/2024/CPROJ/GEENG/SUROD/DIR-ANTT</t>
  </si>
  <si>
    <t>ERM - GEN 0921/2024</t>
  </si>
  <si>
    <t xml:space="preserve">ERM - GEN 0921/2024 </t>
  </si>
  <si>
    <t>OFÍCIO SEI Nº 12559/2024/COPER/GEGIR/SUROD/DIR-ANTT</t>
  </si>
  <si>
    <t>ERM - GEN 1245/2024</t>
  </si>
  <si>
    <t>OAEs</t>
  </si>
  <si>
    <t>BR-493/RJ - km 061+720 (externa)</t>
  </si>
  <si>
    <t>50500.317335/2023-04</t>
  </si>
  <si>
    <t>ERM - GEN 2531/2024</t>
  </si>
  <si>
    <t>OFÍCIO SEI Nº 296/2024/CPROJ/GEENG/SUROD/DIR-ANTT</t>
  </si>
  <si>
    <t>ERM - GEN 1117/2024</t>
  </si>
  <si>
    <t>OFÍCIO SEI Nº 14575/2024/COPER/GEGIR/SUROD/DIR-ANTT</t>
  </si>
  <si>
    <t>ERM - GEN 1348/2024</t>
  </si>
  <si>
    <t>ERM – GEN 0603/2025</t>
  </si>
  <si>
    <t>ERM – GEN 3841/2024</t>
  </si>
  <si>
    <t xml:space="preserve">ERM – GEN 0669/2025 </t>
  </si>
  <si>
    <t>BR-493/RJ - km 062+720
(externa)</t>
  </si>
  <si>
    <t>50500.317351/2023-99</t>
  </si>
  <si>
    <t>ERM - GEN 2545/2023</t>
  </si>
  <si>
    <t>OFÍCIO SEI Nº 40801/2023/CPROJ/GEENG/SUROD/DIR-ANTT</t>
  </si>
  <si>
    <t>ERM - GEN 1118/2024</t>
  </si>
  <si>
    <t>OFÍCIO SEI Nº 14603/2024/COPER/GEGIR/SUROD/DIR-ANTT</t>
  </si>
  <si>
    <t>ERM - GEN 1347/2024</t>
  </si>
  <si>
    <t xml:space="preserve">ERM – GEN 0609/2025 </t>
  </si>
  <si>
    <t>ERM – GEN 3856/2024</t>
  </si>
  <si>
    <t xml:space="preserve">ERM - GEN 0675/2025 </t>
  </si>
  <si>
    <t>BR-493/RJ - km 115+170
(externa)</t>
  </si>
  <si>
    <t>50500.317306/2023-34</t>
  </si>
  <si>
    <t>ERM - GEN 2547/2023</t>
  </si>
  <si>
    <t>OFÍCIO SEI Nº 37452/2023/CPROJ/GEENG/SUROD/DIR-ANTT</t>
  </si>
  <si>
    <t>ERM - GEN 1119/2024</t>
  </si>
  <si>
    <t>OFÍCIO SEI Nº 14637/2024/COPER/GEGIR/SUROD/DIR-ANTT</t>
  </si>
  <si>
    <t>ERM - GEN 1345/2024</t>
  </si>
  <si>
    <t>ERM – GEN 0627/2025</t>
  </si>
  <si>
    <t>ERM – GEN 3858/2024</t>
  </si>
  <si>
    <t>ERM - GEN 0672/2025</t>
  </si>
  <si>
    <t>BR-493/RJ - km 118+250
(externa)</t>
  </si>
  <si>
    <t>50500.317317/2023-14</t>
  </si>
  <si>
    <t>ERM - GEN 2550/2023</t>
  </si>
  <si>
    <t>OFÍCIO SEI Nº 40928/2023/CPROJ/GEENG/SUROD/DIR-ANTT</t>
  </si>
  <si>
    <t>ERM - GEN 1120/2024</t>
  </si>
  <si>
    <t>OFÍCIO SEI Nº 14545/2024/COPER/GEGIR/SUROD/DIR-ANTT</t>
  </si>
  <si>
    <t>ERM - GEN 1343/2024</t>
  </si>
  <si>
    <t xml:space="preserve">ERM – GEN 0599/2025 </t>
  </si>
  <si>
    <t>ERM – GEN 3860/2024</t>
  </si>
  <si>
    <t>ERM - GEN 0674/2025</t>
  </si>
  <si>
    <t>BR-493/RJ - km 061+720
(interna)</t>
  </si>
  <si>
    <t>50500.317342/2023-06</t>
  </si>
  <si>
    <t>ERM - GEN 2532/2023</t>
  </si>
  <si>
    <t>OFÍCIO SEI Nº 426/2024/CPROJ/GEENG/SUROD/DIR-ANTT</t>
  </si>
  <si>
    <t>ERM - GEN 1121/2024</t>
  </si>
  <si>
    <t>OFÍCIO SEI Nº 14650/2024/COPER/GEGIR/SUROD/DIR-ANTT</t>
  </si>
  <si>
    <t>ERM - GEN 1349/2024</t>
  </si>
  <si>
    <t>ERM – GEN 0604/2025</t>
  </si>
  <si>
    <t>ERM – GEN 3854/2024</t>
  </si>
  <si>
    <t>ERM - GEN 0673/2025</t>
  </si>
  <si>
    <t>BR-493/RJ - km 062+740
(interna)</t>
  </si>
  <si>
    <t>50500.317355/2023-77</t>
  </si>
  <si>
    <t>ERM - GEN 2546/2024</t>
  </si>
  <si>
    <t>OFÍCIO SEI Nº 41857/2023/CPROJ/GEENG/SUROD/DIR-ANTT</t>
  </si>
  <si>
    <t>ERM - GEN 1125/2024</t>
  </si>
  <si>
    <t>OFÍCIO SEI Nº 14648/2024/COPER/GEGIR/SUROD/DIR-ANTT</t>
  </si>
  <si>
    <t>ERM - GEN 1346/2024</t>
  </si>
  <si>
    <t>ERM – GEN 0630/2025</t>
  </si>
  <si>
    <t>ERM – GEN 3855/2024</t>
  </si>
  <si>
    <t>ERM - GEN 0668/2025</t>
  </si>
  <si>
    <t>BR-493/RJ - km 115+230
(interna)</t>
  </si>
  <si>
    <t>50500.317312/2023-91</t>
  </si>
  <si>
    <t>ERM - GEN 2549/2024</t>
  </si>
  <si>
    <t>OFÍCIO SEI Nº 37357/2023/CPROJ/GEENG/SUROD/DIR-ANTT</t>
  </si>
  <si>
    <t>ERM - GEN 1123/2024</t>
  </si>
  <si>
    <t>OFÍCIO SEI Nº 14639/2024/COPER/GEGIR/SUROD/DIR-ANTT</t>
  </si>
  <si>
    <t>ERM - GEN 1344/2024</t>
  </si>
  <si>
    <t xml:space="preserve">ERM – GEN 0626/2025 </t>
  </si>
  <si>
    <t>ERM – GEN 3857/2024</t>
  </si>
  <si>
    <t xml:space="preserve">ERM - GEN 0671/2025 </t>
  </si>
  <si>
    <t>BR-493/RJ - km 118+290
(interna)</t>
  </si>
  <si>
    <t>50500.317319/2023-11</t>
  </si>
  <si>
    <t>ERM - GEN 2551/2024</t>
  </si>
  <si>
    <t>OFÍCIO SEI Nº 40450/2023/CPROJ/GEENG/SUROD/DIR-ANTT</t>
  </si>
  <si>
    <t>ERM - GEN 1122/2024</t>
  </si>
  <si>
    <t>OFÍCIO SEI Nº 14644/2024/COPER/GEGIR/SUROD/DIR-ANTT</t>
  </si>
  <si>
    <t>ERM - GEN 1342/2024</t>
  </si>
  <si>
    <t xml:space="preserve">ERM – GEN 0596/2025 </t>
  </si>
  <si>
    <t>ERM – GEN 3859/2024</t>
  </si>
  <si>
    <t xml:space="preserve">ERM - GEN 0670/2025 </t>
  </si>
  <si>
    <t>BR-116/RJ - km 118+490
(Sul)</t>
  </si>
  <si>
    <t>50500.131872/2024-31</t>
  </si>
  <si>
    <t>ERM - GEN 1132/2024</t>
  </si>
  <si>
    <t>OFÍCIO SEI Nº 36488/2024/CPROJ/GEENG/SUROD/DIR-ANTT</t>
  </si>
  <si>
    <t xml:space="preserve">ERM – GEN 3842/2024 </t>
  </si>
  <si>
    <t xml:space="preserve">ERM - GEN 0115/2025 </t>
  </si>
  <si>
    <t>OFÍCIO SEI Nº 2984/2025/COPER/GEGIR/SUROD/DIR-ANTT</t>
  </si>
  <si>
    <t>ERM - GEN 0269/2025</t>
  </si>
  <si>
    <t>BR-493/RJ - km 117+700
(externa)</t>
  </si>
  <si>
    <t>50505.008643/2025-55</t>
  </si>
  <si>
    <t>ERM - GEN 0335/2025</t>
  </si>
  <si>
    <t>BR-116/RJ -  km 119+650
(Sul)</t>
  </si>
  <si>
    <t>50505.025700/2025-61</t>
  </si>
  <si>
    <t>ERM - GEN 1240/2025</t>
  </si>
  <si>
    <t>BR-493/RJ - km 63+950
(interna)</t>
  </si>
  <si>
    <t>50505.025698/2025-20</t>
  </si>
  <si>
    <t>ERM - GEN 1239/2025</t>
  </si>
  <si>
    <t>BR-493/RJ - km 63+950
(externa)</t>
  </si>
  <si>
    <t>50505.025688/2025-94</t>
  </si>
  <si>
    <t>ERM - GEN 1238/2025</t>
  </si>
  <si>
    <t>BR-116/RJ - km 119+650
(Norte)</t>
  </si>
  <si>
    <t>50505.025695/2025-96</t>
  </si>
  <si>
    <t xml:space="preserve">ERM - GEN 1241/2025 </t>
  </si>
  <si>
    <t>BR-493/RJ - km 048+760
(interna e externa)</t>
  </si>
  <si>
    <t xml:space="preserve">	50505.008679/2025-39</t>
  </si>
  <si>
    <t>ERM - GEN 0333/2025</t>
  </si>
  <si>
    <t>BR-116/RJ - km 118+490
(Norte)</t>
  </si>
  <si>
    <t>50505.008699/2025-18</t>
  </si>
  <si>
    <t>ERM - GEN 0334/2025</t>
  </si>
  <si>
    <t>BR-493/RJ - km 117+700
(interna)</t>
  </si>
  <si>
    <t>50505.008703/2025-30</t>
  </si>
  <si>
    <t>ERM - GEN 0332/2025</t>
  </si>
  <si>
    <t>EMERGENCIAL</t>
  </si>
  <si>
    <t>Contenção km 680</t>
  </si>
  <si>
    <t>Contenção km 84+500</t>
  </si>
  <si>
    <t>Drenagem km 704</t>
  </si>
  <si>
    <t>UOPs e DELs PRF</t>
  </si>
  <si>
    <t>DIVISOR CENTRAL</t>
  </si>
  <si>
    <t>BR-116/RJ - km 102,365 ao km 102,620</t>
  </si>
  <si>
    <t>50500.052456/2024-78</t>
  </si>
  <si>
    <t>ERM – GAC 1332/2023</t>
  </si>
  <si>
    <t>OFÍCIO SEI Nº 9718/2024/COPER/GEGIR/SUROD/DIR-ANTT</t>
  </si>
  <si>
    <t>ERM – GEN 1389/2024</t>
  </si>
  <si>
    <t>OFÍCIO SEI Nº 20323/2024/COPER/GEGIR/SUROD/DIR-ANTT</t>
  </si>
  <si>
    <t>ERM – GAC 2117/2024</t>
  </si>
  <si>
    <t>ERM – GEN 0632/2025</t>
  </si>
  <si>
    <t>OFÍCIO SEI Nº 13153/2025/CPROJ/GEENG/SUROD/DIR-ANTT</t>
  </si>
  <si>
    <t>ERM – GAC 2579/2024</t>
  </si>
  <si>
    <t xml:space="preserve">ERM – GEN 0143/2025  </t>
  </si>
  <si>
    <t>TERMO DE ENCERRAMENTO DE OBRAS</t>
  </si>
  <si>
    <t>FIBRA</t>
  </si>
  <si>
    <t>Arco Metrop BR-493/RJ - km 048+100 ao 122+700</t>
  </si>
  <si>
    <t>50505.127250/2024-69</t>
  </si>
  <si>
    <t>ERM - GAC 2896/2024</t>
  </si>
  <si>
    <t>OFÍCIO SEI Nº 40076/2024/CPROJ/GEENG/SUROD/DIR-ANTT</t>
  </si>
  <si>
    <t>ERM - GAC 0066/2025</t>
  </si>
  <si>
    <t>OFÍCIO SEI Nº 932/2025/COPER/GEGIR/SUROD/DIR-ANTT</t>
  </si>
  <si>
    <t>ERM - GEN 0102/2025</t>
  </si>
  <si>
    <t>Arco Metrop BR-493/RJ - km 126 ao 148</t>
  </si>
  <si>
    <t>50505.147564/2024-88_x000D_</t>
  </si>
  <si>
    <t>ERM - GEN 3940/2024</t>
  </si>
  <si>
    <t>OFÍCIO SEI Nº 5780/2025/CPROJ/GEENG/SUROD/DIR-ANTT</t>
  </si>
  <si>
    <t>OFÍCIO SEI Nº 6615/2025/COPER/GEGIR/SUROD/DIR-ANTT</t>
  </si>
  <si>
    <t>ERM - GEN 0857/2025</t>
  </si>
  <si>
    <t>BR-465/RJ - km 0 ao 23</t>
  </si>
  <si>
    <t>50505.144832/2024-18</t>
  </si>
  <si>
    <t>ERM - GAC 3805/2024</t>
  </si>
  <si>
    <t>DECISÃO SUROD Nº 354 DE 07 DE ABRIL DE 2025</t>
  </si>
  <si>
    <t>ERM - GAC 0569/2025</t>
  </si>
  <si>
    <t>BR-116/RJ Dutra - km 170 ao 214</t>
  </si>
  <si>
    <t>50505.003416/2025-33</t>
  </si>
  <si>
    <t>ERM – GEN 3940/2024_x000D_</t>
  </si>
  <si>
    <t>DECISÃO SUROD Nº 361 DE 07 DE ABRIL DE 2025</t>
  </si>
  <si>
    <t>BR-116/RJ - km 02 ao 90</t>
  </si>
  <si>
    <t>50505.012004/2025-94</t>
  </si>
  <si>
    <t>ERM - GEN 0491/2025</t>
  </si>
  <si>
    <t>BR-493/RJ - km 00 ao 25</t>
  </si>
  <si>
    <t>50505.012101/2025-87</t>
  </si>
  <si>
    <t>ERM - GEN 0479/2025</t>
  </si>
  <si>
    <t>BR-116/RJ - km 106 ao 126</t>
  </si>
  <si>
    <t>50505.012113/2025-10</t>
  </si>
  <si>
    <t>ERM - GEN 0480/2025</t>
  </si>
  <si>
    <t>BR-116/MG - km 408 ao 428</t>
  </si>
  <si>
    <t>50505.020736/2025-58</t>
  </si>
  <si>
    <t>--</t>
  </si>
  <si>
    <t>ERM - GEN 0970/2025</t>
  </si>
  <si>
    <t>BR-116/MG - km 428 ao 496</t>
  </si>
  <si>
    <t>50505.018280/2025-66</t>
  </si>
  <si>
    <t>ERM - GEN 0834/2025</t>
  </si>
  <si>
    <t>BR-116/MG - km 496 ao 616</t>
  </si>
  <si>
    <t>50505.020525/2025-15_x000D_</t>
  </si>
  <si>
    <t>ERM - GEN 0974/2025</t>
  </si>
  <si>
    <t>BR-116/MG - km 616 ao 736</t>
  </si>
  <si>
    <t>50505.015839/2025-04_x000D_</t>
  </si>
  <si>
    <t>ERM - GEN 0665/2025</t>
  </si>
  <si>
    <t>BR-116/MG - km 736 ao 816</t>
  </si>
  <si>
    <t>50505.014458/2025-08</t>
  </si>
  <si>
    <t>ERM - GEN 0602/2025</t>
  </si>
  <si>
    <t>SAT</t>
  </si>
  <si>
    <t>RJ/MG</t>
  </si>
  <si>
    <t>50505.013964/2025-71</t>
  </si>
  <si>
    <t>ERM – GAC 0592/2025</t>
  </si>
  <si>
    <t>OFÍCIO SEI Nº 15350/2025/COFOR/GEFOP/SUROD/DIR-ANTT</t>
  </si>
  <si>
    <t>CFTV</t>
  </si>
  <si>
    <t>50505.014442/2025-97</t>
  </si>
  <si>
    <t>ERM - GAC 0612/2025</t>
  </si>
  <si>
    <t>OFÍCIO SEI Nº 10709/2025/SUDESTE/COROD/GEFOP/SUROD/DIR-ANTT</t>
  </si>
  <si>
    <t>PMVs</t>
  </si>
  <si>
    <t>50505.135846/2024-32</t>
  </si>
  <si>
    <t>E-mail 15/01/2025</t>
  </si>
  <si>
    <t>OFÍCIO SEI Nº 6330/2025/SUDESTE/COROD/GEFOP/SUROD/DIR-ANTT</t>
  </si>
  <si>
    <t>ENVIO CERTIFICADOS DAS OBRAS - ECORIOMINAS</t>
  </si>
  <si>
    <t>DATA DE CONCLUSÃO</t>
  </si>
  <si>
    <t>PRAZO DE ENVIO</t>
  </si>
  <si>
    <t>DATA CERTIFICADO</t>
  </si>
  <si>
    <t>PRAZO ADICIONAL?</t>
  </si>
  <si>
    <t>DATA PRAZO</t>
  </si>
  <si>
    <t>DATA ENVIO CERTIFICADO</t>
  </si>
  <si>
    <t>ENTREGA</t>
  </si>
  <si>
    <t>DIAS VENCIDOS</t>
  </si>
  <si>
    <t>CERTIFICADOS OBRAS EM ABERTO</t>
  </si>
  <si>
    <t>S</t>
  </si>
  <si>
    <t>BSO</t>
  </si>
  <si>
    <t>01</t>
  </si>
  <si>
    <t>N</t>
  </si>
  <si>
    <t>02</t>
  </si>
  <si>
    <t>03</t>
  </si>
  <si>
    <t>04</t>
  </si>
  <si>
    <t>05</t>
  </si>
  <si>
    <t>Restava 1 documento pendente, feito o envio via processo intercorrente junto à ANTT em 16/09/2024</t>
  </si>
  <si>
    <t>07</t>
  </si>
  <si>
    <t>06</t>
  </si>
  <si>
    <t>13</t>
  </si>
  <si>
    <t>PP</t>
  </si>
  <si>
    <t>10</t>
  </si>
  <si>
    <t>08</t>
  </si>
  <si>
    <t>14</t>
  </si>
  <si>
    <t>09</t>
  </si>
  <si>
    <t>15</t>
  </si>
  <si>
    <t>11</t>
  </si>
  <si>
    <t>12</t>
  </si>
  <si>
    <t>16</t>
  </si>
  <si>
    <t>17</t>
  </si>
  <si>
    <t>18</t>
  </si>
  <si>
    <t>CERTIFICAÇÃO OBRAS - ERM</t>
  </si>
  <si>
    <t>PPV MAGÉ/RJ</t>
  </si>
  <si>
    <t>Tibiriça irá alinhar com Mari a estretégia de resposta para entrega dos certificados dos PPVs reforma</t>
  </si>
  <si>
    <t>PROCESSO SEI</t>
  </si>
  <si>
    <t>ORGANISMO DE INSPEÇÃO ACREDITADA - OIA</t>
  </si>
  <si>
    <t>PPV CARATINGA/MG</t>
  </si>
  <si>
    <t>km 165+000</t>
  </si>
  <si>
    <t>50500.226085/2022-13</t>
  </si>
  <si>
    <t>Intertek Industry Services Brasil LTDA</t>
  </si>
  <si>
    <t>URT/DIA</t>
  </si>
  <si>
    <t>50500.218341/2022-91</t>
  </si>
  <si>
    <t>50500.226104/2022-01</t>
  </si>
  <si>
    <t>50500.218343/2022-80</t>
  </si>
  <si>
    <t>50500.226112/2022-40</t>
  </si>
  <si>
    <t>50500.226115/2022-83</t>
  </si>
  <si>
    <t>50500.218347/2022-68</t>
  </si>
  <si>
    <t>50500.226116/2022-28</t>
  </si>
  <si>
    <t>50500.253139/2022-13</t>
  </si>
  <si>
    <t>PPV Caratinga</t>
  </si>
  <si>
    <t>PPV Magé</t>
  </si>
  <si>
    <t>PARÂMETROS DE DESEMPENHO ELEMENTOS DA RODOVIA</t>
  </si>
  <si>
    <t>DISCIPLINA</t>
  </si>
  <si>
    <t>ESCOPO FASE DE RECUPERAÇÃO (2º AO 5º ANO)</t>
  </si>
  <si>
    <t>PARÂMETRO</t>
  </si>
  <si>
    <t>3.1.1</t>
  </si>
  <si>
    <t>PAVIMENTO</t>
  </si>
  <si>
    <t>Execução dos reparos localizados necessários à recuperação do pavimento flexível, previamente à execução das obras de reforço do pavimento, em complemento ao tratamento iniciado nos Trabalhos Iniciais.
Reforço estrutural do pavimento flexível existente, com eventual reconstrução de segmentos cujo nível de deterioração, condições estruturais ou ambos não comportem o reforço do pavimento existente.
Recuperação ou recomposição dos acostamentos.
Recuperação de pavimento rígido, compreendendo substituição parcial ou total de placas danificadas, de acordo com os limites estabelecidos nos Parâmetros de Desempenho.
Definição dos tipos de revestimento a aplicar na pista de rolamento de forma que as condições de aderência pneu-pavimento sejam as melhores possíveis, de modo a não comprometer a segurança do usuário.
Eliminação de degrau entre a pista de rolamento e o acostamento.</t>
  </si>
  <si>
    <t>Percentagem: Área Trincada Total (ATT) 
(avaliado em segmentos de 20 km)</t>
  </si>
  <si>
    <t>10% - em 60% da Rodovia</t>
  </si>
  <si>
    <t>7% - em 40% da Rodovia</t>
  </si>
  <si>
    <t>Irregularidade Longitudinal Máxima -IRI</t>
  </si>
  <si>
    <t>3,50 m/km em 60% da rodovia</t>
  </si>
  <si>
    <t>2,70 m/km em 40% da rodovia</t>
  </si>
  <si>
    <t>ICP - Ausência de amostras inferiores a</t>
  </si>
  <si>
    <t>55 em 60% das amostras</t>
  </si>
  <si>
    <t>70 em 40% das amostras</t>
  </si>
  <si>
    <t>Índice de Gravidade Global (IGG) máximo</t>
  </si>
  <si>
    <t>40 em 60% da rodovia</t>
  </si>
  <si>
    <t>30 em 40% da rodovia</t>
  </si>
  <si>
    <t>SIGACO Fase 3 Implantar as demais ferramentas do Sistema de Gerenciamento de Pavimento (SGP).</t>
  </si>
  <si>
    <t>Atender</t>
  </si>
  <si>
    <t>3.1.2</t>
  </si>
  <si>
    <t>SINALIZAÇÃO E EPS</t>
  </si>
  <si>
    <t>Complementação da implantação de defensas, barreiras de segurança e atenuadores de impacto necessários ao longo de toda a rodovia, inclusive com a substituição e adequação às normas mais atualizadas de dispositivos pré-existentes.
Execução de nova sinalização horizontal adequada aos recapeamentos que ocorrerão no pavimento incluindo locais onde a recuperação do pavimento se der com pavimento rígido.
As especificações técnicas para a sinalização horizontal deverão obedecer às normas vigentes do DNIT, CONTRAN e CTB, com largura mínima de 15 centímetros, exceto para sinalizações provisórias.
Implantação de barreiras de segurança nos locais considerados necessários, de acordo com as normas vigentes, complementando os trabalhos efetuados na fase de Trabalhos Iniciais.
Implantação da sinalização definitiva da rodovia, respeitando-se as normas vigentes no que tange à sinalização horizontal e vertical e à contenção viária.
Implantação da sinalização horizontal de alto índice de refletorização nos locais de maior incidência noturna de acidentes sob chuva ou neblina. As especificações técnicas deverão obedecer às normas do DNIT.
Em complemento à pintura de solo, deverão ser utilizados elementos retrorrefletivos fixados sobre o pavimento. As especificações técnicas deverão obedecer às normas vigentes.
Nos trechos sujeitos à neblina ou de maior incidência de precipitação pluviométrica, deverão ser utilizadas macrotachas (tachões), com índice de retrorrefletância superior às tachas. As especificações técnicas deverão obedecer às normas vigentes.
Nas curvas, como auxiliares às demais sinalizações de solo, deverão ser implantados balizadores com elementos retrorrefletivos. As especificações técnicas deverão obedecer às normas vigentes e aos manuais do DNIT.
Para as placas de sinalização vertical e aérea, no caso de placas de regulamentação e de advertência, sua implantação se dará em função das condições geométricas e topográficas da rodovia.
Após a identificação dos locais de incidência de neblina, deverão ser implantadas sinalizações complementares às normais da rodovia, por meio de placas e sinais no pavimento, alertando os usuários sobre a distância mínima de visibilidade.
Placas de serviços auxiliares deverão ser implantadas a 500 m e no início do taper de desaceleração do acesso, sendo uma de pré_x0002_sinalização e outra de confirmação.
Placas de marco quilométrico deverão ser implantadas a cada km, em ambos os sentidos (no caso de pistas com separador central, o marco quilometrico deve ser implantado no bordo interno e externo da rodovia).
Placas de identificação da rodovia deverão ser implantadas a 200 m do fim da pista de aceleração dos principais acessos de ligação viária. 
Deverão ser implantadas, também, junto aos marcos quilométricos múltiplos de 10.
Com relação às placas compostas de regulamentação ou advertência, sua implantação dependerá das condições geométricas e topográficas da rodovia, devendo haver uma de pré-sinalização a 500 m e uma de confirmação.
No caso de 3ª faixa, também deverá ser implantada placa indicando o seu término.
Nos postos de pesagem e adjacências, deverão ser implantadas, no mínimo, as seguintes placas de informação em geral: placas de sinalização aérea a 1 km e de confirmação no início da faixa de desaceleração; placas com indicação de saídas e locais para excesso de carga, na área interna.
Em todas as obras, deverão ser implantadas, em local visível aos usuários, placas indicativas, com breve descrição da obra, informações relativas ao responsável técnico e logomarca da ANTT e da Concessionária.
Em segmentos de pista simples com faixa de ultrapassagem, deverá ser implantada uma placa composta de advertência, a 300 m antecedendo o início da faixa; uma placa composta de regulamentação, 100 m após o início, indicando veículos lentos a utilizar a faixa; e outra indicando o seu final.
No caso de curva perigosa, deverá ser implantada 1 placa composta de advertência, entre 200 e 500 m antes do início da curva, 1 placade redução de velocidade e 1 de advertência.
A 500 m antecedendo cruzamento em nível, deverá ser implantada 1 placa de pré-sinalização, 1 placa de redução de velocidade e 1 placa de cruzamento adiante, apenas na via secundária.
Deverá ser implantada, no mínimo, 1 placa em cada sentido, na divisa dos municípios.
Em segmentos com pista de 3 ou mais faixas, desde que as condições geométricas, topográficas e de segurança do trânsito exijam, deverá ser implantada placa complementar do lado esquerdo (canteiro central) do sentido de direção do tráfego, idêntica à placa implantada à direita.
As placas deverão ser executadas sempre a uma distância mínima de: 1,20 m da borda externa do acostamento ou do refúgio (orla lateral interna da placa). 1,20 m do solo (orla inferior da placa); 6,50 m do solo, no caso de sinalização aérea (orla inferior da placa).
A disposição das placas deverá estar de acordo com o disposto nos manuais do DNIT e do CONTRAN em vigor sobre sinalização. As placas de sinalização vertical e aérea deverão estar de acordo com as normas NBR 11.904 e NBR 14.644, em suas versões mais recentes.
Em nenhuma situação, após serviços de recuperação do pavimento, a rodovia será liberada ao tráfego sem a sinalização horizontal adequada que garanta a segurança dos usuários, ainda que provisória ou de obras.</t>
  </si>
  <si>
    <t>SIGACO Fase 3 Implantar as demais ferramentas do Sistema de Gerenciamento de Sinalização (SGS).</t>
  </si>
  <si>
    <t>3.1.3</t>
  </si>
  <si>
    <t>Serviços referentes às OAEs, envolvendo todas as pontes, viadutos, passagens inferiores e superiores, além das passagens subterrâneas e passarelas de pedestres integrantes da rodovia 
Reparo de concreto com armadura exposta e corroída.
Reparo de erosão e de proteção de terreno de talude, e execução de proteção de terreno de talude.
Reparo e execução de canaleta de drenagem.
Execução de proteção de fundação.
Execução de guarda-roda padrão New Jersey.
Reparação, reforma (alargamento de passagens superiores e pontes e alongamento de passagens inferiores de modo a incorporar acostamentos e faixas de segurança, de modo que a largura final das obras deverá ser igual à da rodovia, incorporando ainda faixas adicionais, em trechos específicos onde ela já exista)
Reforço (para o trem-tipo TB-45, de pontes e passagens inferiores e superiores, quando integrarem seu patrimônio) de OAEs.
Demolição e substituição de OAEs sem condições de aproveitamento, considerando o acentuado estado de degradação ou de deformação, a concepção inaceitável ou a existência de sérias deficiências funcionais.
Restituição da integridade das OAEs vinculadas à sua durabilidade, com ações que não sejam de natureza imediatamente estrutural, como a recomposição de recobrimento das armaduras, proteção de taludes, injeções de fissuras passivas, reconstrução de barreiras rígidas e guarda_x0002_corpos, renivelamento entre aterros e lajes de transição.
Eliminação de todas as manifestações patológicas existentes que possam comprometer seu bom desempenho, sua vida útil, sua segurança ou sua resistência, em nível global ou local, em seus elementos estruturais, fundações, drenagem dos tabuleiros, pavimento e taludes dos terraplenos adjacentes; além da substituição dos guarda-corpos por barreira New Jersey e a execução de lajes de transição em todas as OAEs.
Melhoria da funcionalidade das OAEs, com alargamento ou alongamento.
Implantação, no caso de OAEs em regiões urbanas, de passeios laterais em ambas as pistas com, no mínimo, 1,5 m de largura, com barreiras separando-os das pistas.
Alargamento das passagens superiores na ocorrência de estreitamento da plataforma da OAE.
Alongamento das passagens inferiores para atingir a largura final da rodovia.
OAEs com alto padrão de desempenho estrutural, funcional e de durabilidade, além de boa aparência.</t>
  </si>
  <si>
    <t>Adequação das OAEs para as dimensões adequadas da rodovia, trem_x0002_tipo TB-45, e implantação de passeios nas regiões urbanas, dos trechos homogêneos em que não estiverem previstas obras de ampliação de capacidade e de vias marginais.</t>
  </si>
  <si>
    <t>25% das OAE`s</t>
  </si>
  <si>
    <t>Adequação das OAEs dos trechos com previsão de obras de ampliação de capacidade e de vias marginais para as dimensões adequadas da rodovia e trem-tipo TB-45</t>
  </si>
  <si>
    <t>Concomitante à realização das obras de Ampliação de Capacidade / Duplicação e Construção de Vias Marginais.</t>
  </si>
  <si>
    <t>Ausência de depressão no encontro com a via</t>
  </si>
  <si>
    <t>SIGACO Fase 3 Implantar as demais ferramentas do Sistema de Gerenciamento de OAEs (SGOAE).</t>
  </si>
  <si>
    <t>3.1.4</t>
  </si>
  <si>
    <t>DRENAGEM E OACs</t>
  </si>
  <si>
    <t>Limpeza e desobstrução de sarjetas, canaletas, e descidas d’água.
Recomposição de trechos descontínuos.
Intervenções em bueiros, incluindo desassoreamento e limpeza de bocas.
Expansão do sistema nos trechos considerados como necessários no cadastro realizado.
Intervenção nas OACs para limpeza e desassoreamento.
Recuperação e aumento da eficiência dos dispositivos de drenagem, além da recomposição ou substituição das OACs, considerando o cadastro elaborado e apresentado à ANTT na fase dos Trabalhos Iniciais.
Conclusão dos trabalhos de recuperação da drenagem superficial, incluindo sarjetas, valetas, meios-fios, saídas d’água, caixas coletoras, descidas d’água entre outros.
Implantação ou complementação dos sistemas de drenagem, a partir da construção dos elementos necessários, conforme a monitoração venha a detectar a necessidade, obedecendo às especificações de serviços de drenagem do DNIT.
Orientação das obras de drenagem em concordância com as obras de terraplenagem e pavimentação.
Recuperação total dos dispositivos de drenagem e OACs existentes, com o restabelecimento de suas perfeitas condições de funcionamento e eliminação de todas as manifestações patológicas existentes que possam comprometer seu bom desempenho ou sua vida útil.
Atendimento à especificação de serviço DNIT 028/2004-ES e DNIT 029/2004-ES.
Sistema de drenagem adequado às normas vigentes.
Sistema de drenagem e OACs com alto padrão de desempenho estrutural, funcional e de durabilidade, além de boa aparência.</t>
  </si>
  <si>
    <t>Recomposição de trechos descontínuos</t>
  </si>
  <si>
    <t>25% da extensão</t>
  </si>
  <si>
    <t>Recuperação, limpeza e aumento de eficiência da drenagem superficial, incluindo sarjetas, valetas, meios-fios, saídas d’água, caixas coletoras, descidas d’água entre outros</t>
  </si>
  <si>
    <t>Implantação, complementação e expansão dos sistemas de drenagem, a partir da construção dos elementos necessários, face a necessidade de compatibilidade com obras de Ampliação de Capacidade, Obras de Melhorias e aumento de contribuição de obras marginais à rodovia</t>
  </si>
  <si>
    <t>Recuperação total dos dispositivos de drenagem e OACs existentes, com o restabelecimento de suas perfeitas condições de funcionamento e eliminação de todas as manifestações patológicas existentes que possam comprometer seu bom desempenho ou sua vida útil</t>
  </si>
  <si>
    <t>Sistema de drenagem e OACs com alto padrão de desempenho estrutural, funcional e de durabilidade, além de boa aparência</t>
  </si>
  <si>
    <t>SIGACO Fase 3 Implantar as demais ferramentas do Sistema de Gerenciamento de OACs (SGOAC).</t>
  </si>
  <si>
    <t>3.1.5</t>
  </si>
  <si>
    <t>TERRAPLENOS E ESTRUTURAS DE CONTENÇÃO</t>
  </si>
  <si>
    <t>concessionária deverá atualizar (anualmente) o mapeamento e classificação da criticidade (Risco) de terraplenos e contenções inventariados no SGTEC, conforme preconizado no Manual de Mapeamento de Perigo e Risco a Movimentos Gravitacionais de Massa do CPRM e norma ABNT 11.682 em suas versões mais recentes, em: Baixo (R1), Moderado (R2), Alto (R3) e Muito Alto (R4). 
Deverá avaliar ainda as áreas de perigo e risco a movimentos gravitacionais de massa, existentes e potenciais, identificar sua área de geração e projetar sua área de atingimento e magnitude, com o objetivo de identificar todos os processos que possam afetar áreas dentro da faixa de domínio da rodovia e prever as soluções de engenharia para sua mitigação e minimização dos impactos.
Total recuperação dos terraplenos e obras de contenção existentes na rodovia.
Execução de todos os serviços necessários ao estabelecimento das perfeitas condições de estabilidade dos terraplenos, inclusive com a implantação de elementos de drenagem ou de contenção complementares, de modo a eliminar os problemas existentes e prevenir outros que possam comprometer sua integridade.
Total recuperação das obras de contenção, com o restabelecimento de suas perfeitas condições de funcionamento, com a eliminação de todas as manifestações patológicas existentes que possam comprometer seu bom desempenho ou sua vida útil.
Terraplenos e estruturas de contenção com alto padrão de desempenho estrutural, funcional e de durabilidade, além de boa aparência.</t>
  </si>
  <si>
    <t>Terraplenos (h&gt;8m) e Contenções com Nível de Risco R1 (Baixo)</t>
  </si>
  <si>
    <t>SIGACO Fase 3 Implantar as demais ferramentas do Sistema de Gerenciamento de Terraplenos e Estruturas de Contenção (SGTEC).</t>
  </si>
  <si>
    <t>3.1.6</t>
  </si>
  <si>
    <t>CANTEIRO CENTRAL E FXD</t>
  </si>
  <si>
    <t>Recuperação da faixa de domínio e canteiro central com objetivo de manter a área conservada, facilitando a manutenção de taludes e limpeza dos bueiros existentes, por meio de limpeza por roçada manual ou mecânica ao longo da rodovia.
Realização de plantio de grama nas áreas onde seja necessário.
Notificação dos responsáveis por acessos particulares objetivando a regularização ou eliminação das ocupações irregulares.
Indicação, por parte da Concessionária, das características técnicas necessárias à autorização dos acessos particulares, a serem submetidas à autorização da ANTT.
Bloqueio dos acessos particulares não autorizados em que se configure situação de risco para o usuário da Rodovia.</t>
  </si>
  <si>
    <t>Porcentagem de acessos particulares não autorizados bloqueados em relação ao total de acessos particulares existentes</t>
  </si>
  <si>
    <t>Porcentagem de acessos particulares regularizados em relação ao total de acessos particulares existentes</t>
  </si>
  <si>
    <t>SIGACO Fase 3 Implantar as demais ferramentas do Sistema de Gerenciamento de Faixa de Domínio (SGFD)</t>
  </si>
  <si>
    <t>3.1.7</t>
  </si>
  <si>
    <t>EDIFICAÇÕES E INSTALAÇÕES OPER</t>
  </si>
  <si>
    <t>Construção de novos postos de pesagem veicular, incluindo o sistema viário e áreas de estacionamento/transbordo, para que sejam oferecidas funcionalidades, padrões de operação e capacidade de atendimento exigidos na Frente de Serviços Operacionais.
Manutenção das edificações e instalações operacionais da rodovia, dos Postos de Fiscalização Rodoviários – PFR (ANTT), UOPs ou Delegacias da PRF, por meio da programação de conjunto de intervenções de modo a preservar as condições e garantir a integridade do 
patrimônio da rodovia.
Cumprimento de cronograma de manutenção de edificações e instalações prediais que considere o término da vida útil de cada componente.
Execução de serviços necessários à preservação da funcionalidade dos sistemas operacionais, como pintura, eventuais ampliações das edificações e instalações, e reformas de grande porte envolvendo substituições de paredes ou de coberturas.</t>
  </si>
  <si>
    <t>Novas edificações, instalações operacionais, Postos (ANTT), UOPs e Delegacias (PRF), deverão estar adequadas às funcionalidades e aos padrões de operação requeridos, observado o disposto na Frente de Serviços Operacionais, atendendo aos padrões de acessibilidade exigidos na versão mais recente da Norma NBR 9050 da ABNT</t>
  </si>
  <si>
    <t>Postos de pesagem novos, como previsto em projeto, totalmente funcionais (ALTERADO VIA TERMO ADITIVO)</t>
  </si>
  <si>
    <t>Atender (Prazo prolongado via termo aditivio)</t>
  </si>
  <si>
    <t>Postos de parada de descanso (PPDs), como previsto em projeto, totalmente funcionais</t>
  </si>
  <si>
    <t>SIGACO Fase 3 Implantar as demais ferramentas do Sistema de Gerenciamento das Edificações e Instalações Operacionais (SGEIO)</t>
  </si>
  <si>
    <t>3.1.8</t>
  </si>
  <si>
    <t>SISTEMAS ELÉTRICOS E DE ILUMINAÇÃO</t>
  </si>
  <si>
    <t>Implantação de sistemas de iluminação na rodovia nos trechos próximos aos postos de pesagem fixos (novos).
Complementação dos sistemas de iluminação existentes conforme descrito no item 3.2.1do PER.
Implantação de sistemas de iluminação nas melhorias, nas travessias urbanas e nas vias marginais conforme previsto no PER.
Manutenção dos demais sistemas elétricos e de iluminação, sob responsabilidade da União e dos seus entes, existentes ao longo da rodovia, após a sua inclusão no Termo de Arrolamento e de Transferência de Bens.
A concessionária buscará empregar sistemas elétricos e de iluminação modernos, oferecendo o maior compromisso entre iluminância e eficiência energética.</t>
  </si>
  <si>
    <t>Sistemas elétricos e de iluminação existen_x0002_tes na rodovia totalmente recuperados ou substituídos</t>
  </si>
  <si>
    <t>Concomitante aos prazos das obras de Ampliação de Capacidade/Melhorias. 
Nos demais trechos, até o final da Fase de Recuperação.</t>
  </si>
  <si>
    <t>Complementação dos sistemas de iluminação existentes na rodovia</t>
  </si>
  <si>
    <t>Roteadores Wireless para controle de iluminação e sistemas elétricos e de iluminação inteligente previstos implantados nos trechos operacionais crítico</t>
  </si>
  <si>
    <t>Roteadores Wireless para controle de ilumi_x0002_nação e sistemas elétricos e de iluminação inteligente previstos implantados nos de_x0002_mais trechos</t>
  </si>
  <si>
    <t>Sistemas elétricos e de iluminação inteligente previstos totalmente implantados</t>
  </si>
  <si>
    <t>SIGACO Fase 3 Implantar as demais ferramentas do Sistema de Gerenciamento dos Sistemas Elétricos e Iluminação (SGSEI)</t>
  </si>
  <si>
    <t>Para as células realçadas em amarelo, há a possibilidade de atendimento parcial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</si>
</sst>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font>
      <sz val="11"/>
      <color theme="1"/>
      <name val="Century Gothic"/>
      <family val="2"/>
      <scheme val="minor"/>
    </font>
    <font>
      <b/>
      <sz val="11"/>
      <color theme="0"/>
      <name val="Century Gothic"/>
      <family val="2"/>
      <scheme val="minor"/>
    </font>
    <font>
      <b/>
      <sz val="11"/>
      <color theme="1"/>
      <name val="Century Gothic"/>
      <family val="2"/>
      <scheme val="minor"/>
    </font>
    <font>
      <b/>
      <sz val="11"/>
      <color rgb="FFFFFF00"/>
      <name val="Century Gothic"/>
      <family val="2"/>
      <scheme val="minor"/>
    </font>
    <font>
      <b/>
      <sz val="11"/>
      <name val="Century Gothic"/>
      <family val="2"/>
      <scheme val="minor"/>
    </font>
    <font>
      <sz val="11"/>
      <color theme="1"/>
      <name val="Century Gothic"/>
      <family val="2"/>
      <scheme val="minor"/>
    </font>
    <font>
      <b/>
      <u/>
      <sz val="11"/>
      <color theme="1"/>
      <name val="Century Gothic"/>
      <family val="2"/>
      <scheme val="minor"/>
    </font>
    <font>
      <sz val="11"/>
      <color rgb="FFFF0000"/>
      <name val="Century Gothic"/>
      <family val="2"/>
      <scheme val="minor"/>
    </font>
    <font>
      <b/>
      <sz val="11"/>
      <color rgb="FFFF0000"/>
      <name val="Century Gothic"/>
      <family val="2"/>
      <scheme val="minor"/>
    </font>
    <font>
      <sz val="11"/>
      <name val="Century Gothic"/>
      <family val="2"/>
      <scheme val="minor"/>
    </font>
  </fonts>
  <fills count="30">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1"/>
        <bgColor indexed="64"/>
      </patternFill>
    </fill>
    <fill>
      <patternFill patternType="solid">
        <fgColor theme="0"/>
        <bgColor indexed="64"/>
      </patternFill>
    </fill>
    <fill>
      <patternFill patternType="solid">
        <fgColor theme="1" tint="0.34998626667073579"/>
        <bgColor indexed="64"/>
      </patternFill>
    </fill>
    <fill>
      <patternFill patternType="solid">
        <fgColor theme="0" tint="-0.499984740745262"/>
        <bgColor indexed="64"/>
      </patternFill>
    </fill>
    <fill>
      <patternFill patternType="solid">
        <fgColor rgb="FF0070C0"/>
        <bgColor indexed="64"/>
      </patternFill>
    </fill>
    <fill>
      <patternFill patternType="solid">
        <fgColor rgb="FF92D050"/>
        <bgColor indexed="64"/>
      </patternFill>
    </fill>
    <fill>
      <patternFill patternType="solid">
        <fgColor theme="8" tint="-0.49998474074526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2"/>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4"/>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44" fontId="5" fillId="0" borderId="0" applyFont="0" applyFill="0" applyBorder="0" applyAlignment="0" applyProtection="0"/>
  </cellStyleXfs>
  <cellXfs count="156">
    <xf numFmtId="0" fontId="0" fillId="0" borderId="0" xfId="0"/>
    <xf numFmtId="0" fontId="0" fillId="0" borderId="1" xfId="0" applyBorder="1" applyAlignment="1">
      <alignment horizontal="center"/>
    </xf>
    <xf numFmtId="49" fontId="0" fillId="0" borderId="1" xfId="0" applyNumberFormat="1" applyBorder="1" applyAlignment="1">
      <alignment horizontal="center"/>
    </xf>
    <xf numFmtId="14" fontId="0" fillId="0" borderId="1" xfId="0" applyNumberFormat="1" applyBorder="1" applyAlignment="1">
      <alignment horizontal="center"/>
    </xf>
    <xf numFmtId="49" fontId="0" fillId="0" borderId="8" xfId="0" applyNumberFormat="1" applyBorder="1" applyAlignment="1">
      <alignment horizontal="center"/>
    </xf>
    <xf numFmtId="14" fontId="0" fillId="0" borderId="8" xfId="0" applyNumberFormat="1" applyBorder="1" applyAlignment="1">
      <alignment horizontal="center"/>
    </xf>
    <xf numFmtId="49" fontId="0" fillId="0" borderId="3" xfId="0" applyNumberFormat="1" applyBorder="1" applyAlignment="1">
      <alignment horizontal="center"/>
    </xf>
    <xf numFmtId="14" fontId="0" fillId="0" borderId="3" xfId="0" applyNumberFormat="1" applyBorder="1" applyAlignment="1">
      <alignment horizontal="center"/>
    </xf>
    <xf numFmtId="0" fontId="1" fillId="5"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xf>
    <xf numFmtId="0" fontId="0" fillId="0" borderId="11" xfId="0" applyBorder="1" applyAlignment="1">
      <alignment horizontal="center" vertical="center"/>
    </xf>
    <xf numFmtId="0" fontId="0" fillId="6" borderId="14" xfId="0" applyFill="1" applyBorder="1" applyAlignment="1">
      <alignment horizontal="center" vertical="center"/>
    </xf>
    <xf numFmtId="0" fontId="2" fillId="4" borderId="9" xfId="0" applyFont="1" applyFill="1" applyBorder="1" applyAlignment="1">
      <alignment horizontal="center" vertical="center"/>
    </xf>
    <xf numFmtId="0" fontId="0" fillId="0" borderId="2" xfId="0" applyBorder="1" applyAlignment="1">
      <alignment horizontal="center" vertical="center" wrapText="1"/>
    </xf>
    <xf numFmtId="0" fontId="0" fillId="2" borderId="1" xfId="0" applyFill="1" applyBorder="1" applyAlignment="1">
      <alignment horizontal="center" vertical="center" wrapText="1"/>
    </xf>
    <xf numFmtId="0" fontId="3" fillId="7" borderId="0" xfId="0" applyFont="1" applyFill="1" applyAlignment="1">
      <alignment horizontal="center" vertical="center" wrapText="1"/>
    </xf>
    <xf numFmtId="0" fontId="0" fillId="2" borderId="11" xfId="0" applyFill="1" applyBorder="1" applyAlignment="1">
      <alignment horizontal="center" vertical="center" wrapText="1"/>
    </xf>
    <xf numFmtId="9" fontId="0" fillId="2" borderId="12" xfId="0" applyNumberFormat="1" applyFill="1" applyBorder="1" applyAlignment="1">
      <alignment horizontal="center" vertical="center"/>
    </xf>
    <xf numFmtId="9" fontId="0" fillId="2" borderId="14" xfId="0" applyNumberFormat="1" applyFill="1" applyBorder="1" applyAlignment="1">
      <alignment horizontal="center" vertical="center"/>
    </xf>
    <xf numFmtId="0" fontId="0" fillId="2" borderId="16" xfId="0" applyFill="1" applyBorder="1" applyAlignment="1">
      <alignment horizontal="center" vertical="center" wrapText="1"/>
    </xf>
    <xf numFmtId="0" fontId="0" fillId="2" borderId="17" xfId="0" applyFill="1" applyBorder="1" applyAlignment="1">
      <alignment horizontal="center" vertical="center"/>
    </xf>
    <xf numFmtId="0" fontId="2" fillId="4" borderId="1" xfId="0" applyFont="1" applyFill="1" applyBorder="1" applyAlignment="1">
      <alignment horizontal="center"/>
    </xf>
    <xf numFmtId="0" fontId="0" fillId="0" borderId="1" xfId="0" applyBorder="1"/>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0" fillId="0" borderId="8" xfId="0" applyBorder="1" applyAlignment="1">
      <alignment horizontal="center"/>
    </xf>
    <xf numFmtId="0" fontId="2" fillId="0" borderId="3" xfId="0" applyFont="1" applyBorder="1" applyAlignment="1">
      <alignment horizontal="center" vertical="center"/>
    </xf>
    <xf numFmtId="0" fontId="0" fillId="0" borderId="3" xfId="0" applyBorder="1" applyAlignment="1">
      <alignment horizontal="center"/>
    </xf>
    <xf numFmtId="0" fontId="0" fillId="0" borderId="25" xfId="0" applyBorder="1" applyAlignment="1">
      <alignment horizontal="center" vertical="center"/>
    </xf>
    <xf numFmtId="0" fontId="1" fillId="9"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14" fontId="0" fillId="0" borderId="1" xfId="0" applyNumberFormat="1" applyBorder="1" applyAlignment="1">
      <alignment horizontal="center" vertical="center"/>
    </xf>
    <xf numFmtId="0" fontId="1" fillId="10" borderId="1" xfId="0" applyFont="1" applyFill="1" applyBorder="1" applyAlignment="1">
      <alignment horizontal="center"/>
    </xf>
    <xf numFmtId="49" fontId="0" fillId="4" borderId="1" xfId="0" applyNumberFormat="1" applyFill="1" applyBorder="1" applyAlignment="1">
      <alignment horizontal="center"/>
    </xf>
    <xf numFmtId="14" fontId="0" fillId="4" borderId="1" xfId="0" applyNumberFormat="1" applyFill="1" applyBorder="1" applyAlignment="1">
      <alignment horizontal="center"/>
    </xf>
    <xf numFmtId="49" fontId="0" fillId="4" borderId="1" xfId="0" applyNumberFormat="1" applyFill="1" applyBorder="1" applyAlignment="1">
      <alignment horizontal="center" wrapText="1"/>
    </xf>
    <xf numFmtId="49" fontId="0" fillId="0" borderId="1" xfId="0" applyNumberFormat="1" applyBorder="1" applyAlignment="1">
      <alignment horizontal="center" wrapText="1"/>
    </xf>
    <xf numFmtId="14" fontId="0" fillId="4" borderId="1" xfId="0" applyNumberFormat="1" applyFill="1" applyBorder="1" applyAlignment="1">
      <alignment horizontal="center" vertical="center"/>
    </xf>
    <xf numFmtId="0" fontId="0" fillId="4" borderId="1" xfId="0" applyFill="1" applyBorder="1"/>
    <xf numFmtId="0" fontId="1" fillId="5" borderId="5" xfId="0" applyFont="1" applyFill="1" applyBorder="1" applyAlignment="1">
      <alignment horizontal="center"/>
    </xf>
    <xf numFmtId="0" fontId="1" fillId="5" borderId="6" xfId="0" applyFont="1" applyFill="1" applyBorder="1" applyAlignment="1">
      <alignment horizontal="center"/>
    </xf>
    <xf numFmtId="0" fontId="4" fillId="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xf>
    <xf numFmtId="0" fontId="0" fillId="0" borderId="27" xfId="0" applyBorder="1"/>
    <xf numFmtId="0" fontId="0" fillId="0" borderId="26" xfId="0" applyBorder="1"/>
    <xf numFmtId="44" fontId="2" fillId="0" borderId="1" xfId="1" applyFont="1" applyBorder="1"/>
    <xf numFmtId="0" fontId="0" fillId="0" borderId="0" xfId="0" applyAlignment="1">
      <alignment horizontal="center" vertical="center"/>
    </xf>
    <xf numFmtId="0" fontId="2" fillId="2" borderId="5" xfId="0" applyFont="1" applyFill="1" applyBorder="1" applyAlignment="1">
      <alignment horizontal="center" vertical="center" wrapText="1"/>
    </xf>
    <xf numFmtId="0" fontId="0" fillId="8" borderId="1" xfId="0" applyFill="1" applyBorder="1" applyAlignment="1">
      <alignment horizontal="center" vertical="center" wrapText="1"/>
    </xf>
    <xf numFmtId="0" fontId="7" fillId="0" borderId="0" xfId="0" applyFont="1" applyAlignment="1">
      <alignment horizontal="center" vertical="center"/>
    </xf>
    <xf numFmtId="0" fontId="0" fillId="12" borderId="0" xfId="0" applyFill="1" applyAlignment="1">
      <alignment horizontal="center" vertical="center"/>
    </xf>
    <xf numFmtId="14" fontId="7" fillId="4" borderId="1" xfId="0" applyNumberFormat="1" applyFont="1" applyFill="1" applyBorder="1" applyAlignment="1">
      <alignment horizontal="center"/>
    </xf>
    <xf numFmtId="0" fontId="8" fillId="0" borderId="1" xfId="0" applyFont="1" applyBorder="1" applyAlignment="1">
      <alignment horizontal="center"/>
    </xf>
    <xf numFmtId="49" fontId="0" fillId="0" borderId="1" xfId="0" applyNumberFormat="1" applyBorder="1" applyAlignment="1">
      <alignment horizontal="center" vertical="center" wrapText="1"/>
    </xf>
    <xf numFmtId="0" fontId="1" fillId="13" borderId="1" xfId="0" applyFont="1" applyFill="1" applyBorder="1" applyAlignment="1">
      <alignment horizontal="left" vertical="center" wrapText="1"/>
    </xf>
    <xf numFmtId="0" fontId="0" fillId="0" borderId="1" xfId="0" applyBorder="1" applyAlignment="1">
      <alignment horizontal="left" vertical="center" wrapText="1"/>
    </xf>
    <xf numFmtId="0" fontId="0" fillId="3" borderId="1" xfId="0"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5"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14" fontId="0" fillId="18" borderId="1" xfId="0" applyNumberFormat="1" applyFill="1" applyBorder="1" applyAlignment="1">
      <alignment horizontal="center" vertical="center" wrapText="1"/>
    </xf>
    <xf numFmtId="0" fontId="0" fillId="18" borderId="1" xfId="0" applyFill="1" applyBorder="1" applyAlignment="1">
      <alignment horizontal="center" vertical="center" wrapText="1"/>
    </xf>
    <xf numFmtId="0" fontId="1" fillId="19"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0" fillId="23" borderId="1" xfId="0" applyFill="1" applyBorder="1" applyAlignment="1">
      <alignment horizontal="center" vertical="center" wrapText="1"/>
    </xf>
    <xf numFmtId="14" fontId="0" fillId="23" borderId="1" xfId="0" applyNumberFormat="1" applyFill="1" applyBorder="1" applyAlignment="1">
      <alignment horizontal="center" vertical="center" wrapText="1"/>
    </xf>
    <xf numFmtId="0" fontId="0" fillId="24" borderId="1" xfId="0" applyFill="1" applyBorder="1" applyAlignment="1">
      <alignment horizontal="center" vertical="center" wrapText="1"/>
    </xf>
    <xf numFmtId="14" fontId="0" fillId="24" borderId="1" xfId="0" applyNumberFormat="1" applyFill="1" applyBorder="1" applyAlignment="1">
      <alignment horizontal="center" vertical="center" wrapText="1"/>
    </xf>
    <xf numFmtId="0" fontId="1" fillId="25" borderId="1" xfId="0" applyFont="1" applyFill="1" applyBorder="1" applyAlignment="1">
      <alignment horizontal="center" vertical="center" wrapText="1"/>
    </xf>
    <xf numFmtId="14" fontId="9" fillId="23" borderId="1" xfId="0" applyNumberFormat="1" applyFont="1" applyFill="1" applyBorder="1" applyAlignment="1">
      <alignment horizontal="center" vertical="center" wrapText="1"/>
    </xf>
    <xf numFmtId="0" fontId="0" fillId="16" borderId="1" xfId="0" applyFill="1" applyBorder="1" applyAlignment="1">
      <alignment horizontal="left" vertical="center" wrapText="1"/>
    </xf>
    <xf numFmtId="0" fontId="1" fillId="26" borderId="1" xfId="0" applyFont="1" applyFill="1" applyBorder="1" applyAlignment="1">
      <alignment horizontal="center" vertical="center" wrapText="1"/>
    </xf>
    <xf numFmtId="0" fontId="1" fillId="27" borderId="1" xfId="0" applyFont="1" applyFill="1" applyBorder="1" applyAlignment="1">
      <alignment horizontal="center" vertical="center" wrapText="1"/>
    </xf>
    <xf numFmtId="0" fontId="1" fillId="28" borderId="1" xfId="0" applyFont="1" applyFill="1" applyBorder="1" applyAlignment="1">
      <alignment horizontal="center" vertical="center" wrapText="1"/>
    </xf>
    <xf numFmtId="0" fontId="7" fillId="24"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1" fillId="17" borderId="1" xfId="0" applyFont="1" applyFill="1" applyBorder="1" applyAlignment="1">
      <alignment horizontal="left" vertical="center"/>
    </xf>
    <xf numFmtId="0" fontId="1" fillId="14" borderId="1" xfId="0" applyFont="1" applyFill="1" applyBorder="1" applyAlignment="1">
      <alignment horizontal="center" vertical="center" wrapText="1"/>
    </xf>
    <xf numFmtId="0" fontId="1" fillId="29"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0" borderId="28" xfId="0" applyBorder="1" applyAlignment="1">
      <alignment horizontal="center" vertical="center" wrapText="1"/>
    </xf>
    <xf numFmtId="0" fontId="0" fillId="0" borderId="25" xfId="0" applyBorder="1" applyAlignment="1">
      <alignment horizontal="center" vertical="center" wrapText="1"/>
    </xf>
    <xf numFmtId="0" fontId="0" fillId="0" borderId="29" xfId="0" applyBorder="1" applyAlignment="1">
      <alignment horizontal="center" vertical="center" wrapText="1"/>
    </xf>
    <xf numFmtId="0" fontId="1" fillId="9" borderId="1"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1" fillId="11" borderId="1" xfId="0" applyFont="1" applyFill="1" applyBorder="1" applyAlignment="1">
      <alignment horizontal="center" vertical="center"/>
    </xf>
    <xf numFmtId="0" fontId="1" fillId="9" borderId="5" xfId="0" applyFont="1" applyFill="1" applyBorder="1" applyAlignment="1">
      <alignment horizontal="center" vertical="center"/>
    </xf>
    <xf numFmtId="0" fontId="1" fillId="9" borderId="24" xfId="0" applyFont="1" applyFill="1" applyBorder="1" applyAlignment="1">
      <alignment horizontal="center" vertical="center"/>
    </xf>
    <xf numFmtId="0" fontId="1" fillId="9" borderId="6" xfId="0" applyFont="1" applyFill="1" applyBorder="1" applyAlignment="1">
      <alignment horizontal="center" vertical="center"/>
    </xf>
    <xf numFmtId="0" fontId="1" fillId="9" borderId="28" xfId="0" applyFont="1" applyFill="1" applyBorder="1" applyAlignment="1">
      <alignment horizontal="center" vertical="center"/>
    </xf>
    <xf numFmtId="0" fontId="1" fillId="9" borderId="29" xfId="0" applyFont="1" applyFill="1" applyBorder="1" applyAlignment="1">
      <alignment horizontal="center" vertical="center"/>
    </xf>
    <xf numFmtId="0" fontId="1" fillId="2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19" borderId="1" xfId="0" applyFont="1" applyFill="1" applyBorder="1" applyAlignment="1">
      <alignment horizontal="center" vertical="center"/>
    </xf>
    <xf numFmtId="0" fontId="1" fillId="26" borderId="1" xfId="0" applyFont="1" applyFill="1" applyBorder="1" applyAlignment="1">
      <alignment horizontal="center" vertical="center"/>
    </xf>
    <xf numFmtId="0" fontId="1" fillId="15"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27" borderId="1" xfId="0" applyFont="1" applyFill="1" applyBorder="1" applyAlignment="1">
      <alignment horizontal="center" vertical="center"/>
    </xf>
    <xf numFmtId="0" fontId="1" fillId="29" borderId="1" xfId="0" applyFont="1" applyFill="1" applyBorder="1" applyAlignment="1">
      <alignment horizontal="center" vertical="center"/>
    </xf>
    <xf numFmtId="0" fontId="1" fillId="25" borderId="1" xfId="0" applyFont="1" applyFill="1" applyBorder="1" applyAlignment="1">
      <alignment horizontal="center" vertical="center"/>
    </xf>
    <xf numFmtId="0" fontId="4" fillId="21" borderId="1" xfId="0" applyFont="1" applyFill="1" applyBorder="1" applyAlignment="1">
      <alignment horizontal="center" vertical="center"/>
    </xf>
    <xf numFmtId="0" fontId="4" fillId="20" borderId="1" xfId="0" applyFont="1" applyFill="1" applyBorder="1" applyAlignment="1">
      <alignment horizontal="center" vertical="center"/>
    </xf>
    <xf numFmtId="0" fontId="1" fillId="28" borderId="1" xfId="0" applyFont="1" applyFill="1" applyBorder="1" applyAlignment="1">
      <alignment horizontal="center" vertical="center"/>
    </xf>
    <xf numFmtId="0" fontId="0" fillId="0" borderId="25" xfId="0" applyBorder="1" applyAlignment="1">
      <alignment horizontal="center" vertical="center"/>
    </xf>
    <xf numFmtId="0" fontId="1" fillId="5" borderId="1"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0" borderId="2" xfId="0" applyFont="1" applyBorder="1" applyAlignment="1">
      <alignment horizontal="center" vertical="center" textRotation="255"/>
    </xf>
    <xf numFmtId="0" fontId="2" fillId="0" borderId="4" xfId="0" applyFont="1" applyBorder="1" applyAlignment="1">
      <alignment horizontal="center" vertical="center" textRotation="255"/>
    </xf>
    <xf numFmtId="0" fontId="2" fillId="0" borderId="7" xfId="0" applyFont="1" applyBorder="1" applyAlignment="1">
      <alignment horizontal="center" vertical="center" textRotation="255"/>
    </xf>
    <xf numFmtId="0" fontId="2" fillId="0" borderId="3" xfId="0" applyFont="1" applyBorder="1" applyAlignment="1">
      <alignment horizontal="center" vertical="center" textRotation="255"/>
    </xf>
    <xf numFmtId="0" fontId="2" fillId="0" borderId="1" xfId="0" applyFont="1" applyBorder="1" applyAlignment="1">
      <alignment horizontal="center" vertical="center" textRotation="255"/>
    </xf>
    <xf numFmtId="0" fontId="2" fillId="4" borderId="1" xfId="0" applyFont="1" applyFill="1" applyBorder="1" applyAlignment="1">
      <alignment horizontal="center"/>
    </xf>
    <xf numFmtId="0" fontId="1" fillId="10" borderId="1" xfId="0" applyFont="1" applyFill="1" applyBorder="1" applyAlignment="1">
      <alignment horizontal="center"/>
    </xf>
    <xf numFmtId="0" fontId="2" fillId="0" borderId="1" xfId="0" applyFont="1" applyBorder="1" applyAlignment="1">
      <alignment horizontal="center"/>
    </xf>
    <xf numFmtId="0" fontId="2" fillId="4" borderId="9"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5" xfId="0" applyFont="1" applyFill="1" applyBorder="1" applyAlignment="1">
      <alignment horizontal="center" vertical="center"/>
    </xf>
    <xf numFmtId="0" fontId="0" fillId="0" borderId="20" xfId="0" applyBorder="1" applyAlignment="1">
      <alignment horizontal="center" vertical="center"/>
    </xf>
    <xf numFmtId="0" fontId="0" fillId="0" borderId="23" xfId="0" applyBorder="1" applyAlignment="1">
      <alignment horizontal="center" vertical="center"/>
    </xf>
    <xf numFmtId="0" fontId="2" fillId="4" borderId="11"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6" xfId="0" applyBorder="1" applyAlignment="1">
      <alignment horizontal="center" vertical="center"/>
    </xf>
    <xf numFmtId="0" fontId="0" fillId="0" borderId="16" xfId="0" applyBorder="1" applyAlignment="1">
      <alignment horizontal="center" vertical="center" wrapText="1"/>
    </xf>
    <xf numFmtId="0" fontId="0" fillId="0" borderId="19" xfId="0" applyBorder="1" applyAlignment="1">
      <alignment horizontal="center" vertical="center" wrapText="1"/>
    </xf>
    <xf numFmtId="0" fontId="0" fillId="0" borderId="22" xfId="0" applyBorder="1" applyAlignment="1">
      <alignment horizontal="center" vertical="center" wrapText="1"/>
    </xf>
    <xf numFmtId="0" fontId="2" fillId="4" borderId="19"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21" xfId="0" applyFont="1" applyFill="1" applyBorder="1" applyAlignment="1">
      <alignment horizontal="center" vertical="center"/>
    </xf>
    <xf numFmtId="0" fontId="0" fillId="0" borderId="12" xfId="0" applyBorder="1" applyAlignment="1">
      <alignment horizontal="center" vertical="center" wrapText="1"/>
    </xf>
    <xf numFmtId="0" fontId="0" fillId="0" borderId="14" xfId="0" applyBorder="1" applyAlignment="1">
      <alignment horizontal="center" vertical="center"/>
    </xf>
    <xf numFmtId="0" fontId="2" fillId="4" borderId="1" xfId="0" applyFont="1" applyFill="1" applyBorder="1" applyAlignment="1">
      <alignment horizontal="center" vertical="center" wrapText="1"/>
    </xf>
  </cellXfs>
  <cellStyles count="2">
    <cellStyle name="Moeda" xfId="1" builtinId="4"/>
    <cellStyle name="Normal" xfId="0" builtinId="0"/>
  </cellStyles>
  <dxfs count="10">
    <dxf>
      <font>
        <b/>
        <i val="0"/>
        <color rgb="FFFF0000"/>
      </font>
      <fill>
        <patternFill>
          <bgColor rgb="FFFFCCCC"/>
        </patternFill>
      </fill>
    </dxf>
    <dxf>
      <font>
        <b/>
        <i val="0"/>
        <color theme="5" tint="-0.24994659260841701"/>
      </font>
      <fill>
        <patternFill>
          <bgColor theme="7" tint="0.79998168889431442"/>
        </patternFill>
      </fill>
    </dxf>
    <dxf>
      <font>
        <b/>
        <i val="0"/>
        <color rgb="FFFF0000"/>
      </font>
      <fill>
        <patternFill>
          <bgColor rgb="FFFFCCCC"/>
        </patternFill>
      </fill>
    </dxf>
    <dxf>
      <font>
        <b/>
        <i val="0"/>
        <color rgb="FF00B050"/>
      </font>
      <fill>
        <patternFill>
          <bgColor theme="9" tint="0.79998168889431442"/>
        </patternFill>
      </fill>
    </dxf>
    <dxf>
      <font>
        <b/>
        <i val="0"/>
        <color rgb="FFFF0000"/>
      </font>
      <numFmt numFmtId="19" formatCode="dd/mm/yyyy"/>
      <fill>
        <patternFill>
          <bgColor rgb="FFFFCCCC"/>
        </patternFill>
      </fill>
    </dxf>
    <dxf>
      <font>
        <b/>
        <i val="0"/>
        <color rgb="FF00B050"/>
      </font>
      <numFmt numFmtId="19" formatCode="dd/mm/yyyy"/>
      <fill>
        <patternFill>
          <bgColor theme="9" tint="0.79998168889431442"/>
        </patternFill>
      </fill>
    </dxf>
    <dxf>
      <font>
        <b/>
        <i val="0"/>
        <color rgb="FFFF0000"/>
      </font>
      <numFmt numFmtId="19" formatCode="dd/mm/yyyy"/>
      <fill>
        <patternFill>
          <bgColor rgb="FFFFCCCC"/>
        </patternFill>
      </fill>
    </dxf>
    <dxf>
      <font>
        <b/>
        <i val="0"/>
        <color rgb="FF00B050"/>
      </font>
      <numFmt numFmtId="19" formatCode="dd/mm/yyyy"/>
      <fill>
        <patternFill>
          <bgColor theme="9" tint="0.79998168889431442"/>
        </patternFill>
      </fill>
    </dxf>
    <dxf>
      <font>
        <b/>
        <i val="0"/>
        <color rgb="FF00B050"/>
      </font>
      <fill>
        <patternFill>
          <bgColor theme="9" tint="0.79998168889431442"/>
        </patternFill>
      </fill>
    </dxf>
    <dxf>
      <font>
        <b/>
        <i val="0"/>
        <color rgb="FFFF0000"/>
      </font>
      <fill>
        <patternFill>
          <bgColor rgb="FFFFCCCC"/>
        </patternFill>
      </fill>
    </dxf>
  </dxfs>
  <tableStyles count="0" defaultTableStyle="TableStyleMedium2" defaultPivotStyle="PivotStyleLight16"/>
  <colors>
    <mruColors>
      <color rgb="FF003E01"/>
      <color rgb="FFFBEFC5"/>
      <color rgb="FFFBF9D9"/>
      <color rgb="FFC69418"/>
      <color rgb="FFCCECFF"/>
      <color rgb="FFFF6600"/>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25645</xdr:colOff>
      <xdr:row>27</xdr:row>
      <xdr:rowOff>30773</xdr:rowOff>
    </xdr:from>
    <xdr:to>
      <xdr:col>2</xdr:col>
      <xdr:colOff>1119860</xdr:colOff>
      <xdr:row>32</xdr:row>
      <xdr:rowOff>97604</xdr:rowOff>
    </xdr:to>
    <xdr:pic>
      <xdr:nvPicPr>
        <xdr:cNvPr id="4" name="Imagem 3">
          <a:extLst>
            <a:ext uri="{FF2B5EF4-FFF2-40B4-BE49-F238E27FC236}">
              <a16:creationId xmlns:a16="http://schemas.microsoft.com/office/drawing/2014/main" id="{F52A9088-6BC2-4C8C-9260-A347A5F746E9}"/>
            </a:ext>
          </a:extLst>
        </xdr:cNvPr>
        <xdr:cNvPicPr>
          <a:picLocks noChangeAspect="1"/>
        </xdr:cNvPicPr>
      </xdr:nvPicPr>
      <xdr:blipFill>
        <a:blip xmlns:r="http://schemas.openxmlformats.org/officeDocument/2006/relationships" r:embed="rId1"/>
        <a:stretch>
          <a:fillRect/>
        </a:stretch>
      </xdr:blipFill>
      <xdr:spPr>
        <a:xfrm>
          <a:off x="25645" y="12794273"/>
          <a:ext cx="7435667" cy="1114581"/>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128955</xdr:colOff>
      <xdr:row>0</xdr:row>
      <xdr:rowOff>76933</xdr:rowOff>
    </xdr:from>
    <xdr:to>
      <xdr:col>13</xdr:col>
      <xdr:colOff>1451543</xdr:colOff>
      <xdr:row>4</xdr:row>
      <xdr:rowOff>10366</xdr:rowOff>
    </xdr:to>
    <xdr:pic>
      <xdr:nvPicPr>
        <xdr:cNvPr id="2" name="Imagem 1">
          <a:extLst>
            <a:ext uri="{FF2B5EF4-FFF2-40B4-BE49-F238E27FC236}">
              <a16:creationId xmlns:a16="http://schemas.microsoft.com/office/drawing/2014/main" id="{97715C46-D730-48CD-9E28-12D704BE4B1B}"/>
            </a:ext>
          </a:extLst>
        </xdr:cNvPr>
        <xdr:cNvPicPr>
          <a:picLocks noChangeAspect="1"/>
        </xdr:cNvPicPr>
      </xdr:nvPicPr>
      <xdr:blipFill>
        <a:blip xmlns:r="http://schemas.openxmlformats.org/officeDocument/2006/relationships" r:embed="rId1"/>
        <a:stretch>
          <a:fillRect/>
        </a:stretch>
      </xdr:blipFill>
      <xdr:spPr>
        <a:xfrm>
          <a:off x="738555" y="76933"/>
          <a:ext cx="5789813" cy="771633"/>
        </a:xfrm>
        <a:prstGeom prst="rect">
          <a:avLst/>
        </a:prstGeom>
        <a:ln>
          <a:solidFill>
            <a:schemeClr val="accent1"/>
          </a:solidFill>
        </a:ln>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Íon">
  <a:themeElements>
    <a:clrScheme name="Personalizada 1">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Í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Í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75D8-3B1A-48DA-B75F-1E5C73E3CC36}">
  <dimension ref="A1:J25"/>
  <sheetViews>
    <sheetView showGridLines="0" topLeftCell="D1" zoomScaleNormal="100" workbookViewId="0">
      <selection activeCell="E13" sqref="E13"/>
    </sheetView>
  </sheetViews>
  <sheetFormatPr defaultRowHeight="16.5"/>
  <cols>
    <col min="1" max="1" width="66.625" customWidth="1"/>
    <col min="2" max="2" width="16.625" customWidth="1"/>
    <col min="3" max="3" width="15.25" customWidth="1"/>
    <col min="4" max="4" width="100.625" customWidth="1"/>
    <col min="5" max="5" width="13" customWidth="1"/>
    <col min="6" max="6" width="52.375" style="58" customWidth="1"/>
    <col min="7" max="7" width="20.875" style="58" customWidth="1"/>
    <col min="8" max="8" width="40.875" style="58" customWidth="1"/>
    <col min="9" max="9" width="11.25" style="58" customWidth="1"/>
    <col min="10" max="10" width="12" style="58" customWidth="1"/>
  </cols>
  <sheetData>
    <row r="1" spans="1:10">
      <c r="A1" s="104" t="s">
        <v>0</v>
      </c>
      <c r="B1" s="105"/>
      <c r="C1" s="105"/>
      <c r="D1" s="106"/>
      <c r="E1" s="107" t="s">
        <v>1</v>
      </c>
      <c r="F1" s="97" t="s">
        <v>2</v>
      </c>
      <c r="G1" s="97" t="s">
        <v>3</v>
      </c>
      <c r="H1" s="97" t="s">
        <v>4</v>
      </c>
      <c r="I1" s="97" t="s">
        <v>5</v>
      </c>
      <c r="J1" s="103" t="s">
        <v>6</v>
      </c>
    </row>
    <row r="2" spans="1:10">
      <c r="A2" s="38" t="s">
        <v>7</v>
      </c>
      <c r="B2" s="38" t="s">
        <v>8</v>
      </c>
      <c r="C2" s="38" t="s">
        <v>9</v>
      </c>
      <c r="D2" s="38" t="s">
        <v>10</v>
      </c>
      <c r="E2" s="108"/>
      <c r="F2" s="97"/>
      <c r="G2" s="97"/>
      <c r="H2" s="97"/>
      <c r="I2" s="97"/>
      <c r="J2" s="103"/>
    </row>
    <row r="3" spans="1:10" ht="49.5">
      <c r="A3" s="39" t="s">
        <v>11</v>
      </c>
      <c r="B3" s="39" t="s">
        <v>12</v>
      </c>
      <c r="C3" s="40" t="s">
        <v>13</v>
      </c>
      <c r="D3" s="40" t="s">
        <v>14</v>
      </c>
      <c r="E3" s="52" t="s">
        <v>15</v>
      </c>
      <c r="F3"/>
      <c r="G3"/>
      <c r="H3"/>
      <c r="I3"/>
      <c r="J3" s="58" t="s">
        <v>16</v>
      </c>
    </row>
    <row r="4" spans="1:10" ht="33">
      <c r="A4" s="10" t="s">
        <v>17</v>
      </c>
      <c r="B4" s="22" t="s">
        <v>18</v>
      </c>
      <c r="C4" s="9" t="s">
        <v>19</v>
      </c>
      <c r="D4" s="10" t="s">
        <v>20</v>
      </c>
      <c r="E4" s="52" t="s">
        <v>15</v>
      </c>
      <c r="F4"/>
      <c r="G4"/>
      <c r="H4"/>
      <c r="I4"/>
      <c r="J4" s="58" t="s">
        <v>16</v>
      </c>
    </row>
    <row r="5" spans="1:10" ht="82.5">
      <c r="A5" s="39" t="s">
        <v>21</v>
      </c>
      <c r="B5" s="39" t="s">
        <v>22</v>
      </c>
      <c r="C5" s="40" t="s">
        <v>23</v>
      </c>
      <c r="D5" s="40" t="s">
        <v>24</v>
      </c>
      <c r="E5" s="52" t="s">
        <v>15</v>
      </c>
      <c r="F5"/>
      <c r="G5"/>
      <c r="H5"/>
      <c r="I5"/>
      <c r="J5" s="62" t="s">
        <v>25</v>
      </c>
    </row>
    <row r="6" spans="1:10" ht="148.5">
      <c r="A6" s="10" t="s">
        <v>26</v>
      </c>
      <c r="B6" s="22" t="s">
        <v>27</v>
      </c>
      <c r="C6" s="9" t="s">
        <v>23</v>
      </c>
      <c r="D6" s="10" t="s">
        <v>28</v>
      </c>
      <c r="E6" s="52" t="s">
        <v>15</v>
      </c>
      <c r="F6" s="37"/>
      <c r="G6"/>
      <c r="H6"/>
      <c r="I6"/>
      <c r="J6" s="58" t="s">
        <v>16</v>
      </c>
    </row>
    <row r="7" spans="1:10" ht="66">
      <c r="A7" s="39" t="s">
        <v>29</v>
      </c>
      <c r="B7" s="39" t="s">
        <v>30</v>
      </c>
      <c r="C7" s="40" t="s">
        <v>23</v>
      </c>
      <c r="D7" s="40" t="s">
        <v>31</v>
      </c>
      <c r="E7" s="52" t="s">
        <v>32</v>
      </c>
      <c r="F7" s="60" t="s">
        <v>33</v>
      </c>
      <c r="G7" s="9" t="s">
        <v>34</v>
      </c>
      <c r="H7" s="10" t="s">
        <v>35</v>
      </c>
      <c r="I7" s="41">
        <v>45555</v>
      </c>
      <c r="J7" s="61" t="s">
        <v>36</v>
      </c>
    </row>
    <row r="8" spans="1:10" ht="115.5">
      <c r="A8" s="10" t="s">
        <v>37</v>
      </c>
      <c r="B8" s="22" t="s">
        <v>27</v>
      </c>
      <c r="C8" s="9" t="s">
        <v>23</v>
      </c>
      <c r="D8" s="10" t="s">
        <v>38</v>
      </c>
      <c r="E8" s="52" t="s">
        <v>32</v>
      </c>
      <c r="F8"/>
      <c r="G8"/>
      <c r="H8"/>
      <c r="I8"/>
      <c r="J8" s="58" t="s">
        <v>16</v>
      </c>
    </row>
    <row r="9" spans="1:10" ht="49.5">
      <c r="A9" s="39" t="s">
        <v>39</v>
      </c>
      <c r="B9" s="39" t="s">
        <v>18</v>
      </c>
      <c r="C9" s="40" t="s">
        <v>23</v>
      </c>
      <c r="D9" s="40" t="s">
        <v>40</v>
      </c>
      <c r="E9" s="52" t="s">
        <v>32</v>
      </c>
      <c r="F9" s="53" t="s">
        <v>41</v>
      </c>
      <c r="G9"/>
      <c r="H9"/>
      <c r="I9"/>
      <c r="J9" s="62" t="s">
        <v>25</v>
      </c>
    </row>
    <row r="10" spans="1:10" ht="66">
      <c r="A10" s="10" t="s">
        <v>42</v>
      </c>
      <c r="B10" s="22" t="s">
        <v>43</v>
      </c>
      <c r="C10" s="9" t="s">
        <v>23</v>
      </c>
      <c r="D10" s="10" t="s">
        <v>44</v>
      </c>
      <c r="E10" s="52" t="s">
        <v>32</v>
      </c>
      <c r="F10" s="10" t="s">
        <v>45</v>
      </c>
      <c r="G10" s="9" t="s">
        <v>46</v>
      </c>
      <c r="H10" s="9"/>
      <c r="I10" s="41">
        <v>45555</v>
      </c>
      <c r="J10" s="58" t="s">
        <v>25</v>
      </c>
    </row>
    <row r="11" spans="1:10" ht="49.5">
      <c r="A11" s="39" t="s">
        <v>47</v>
      </c>
      <c r="B11" s="39" t="s">
        <v>43</v>
      </c>
      <c r="C11" s="40" t="s">
        <v>23</v>
      </c>
      <c r="D11" s="40" t="s">
        <v>48</v>
      </c>
      <c r="E11" s="52" t="s">
        <v>32</v>
      </c>
      <c r="F11" s="51" t="s">
        <v>49</v>
      </c>
      <c r="G11" s="9" t="s">
        <v>50</v>
      </c>
      <c r="H11" s="9"/>
      <c r="I11" s="41">
        <v>45552</v>
      </c>
      <c r="J11" s="58" t="s">
        <v>51</v>
      </c>
    </row>
    <row r="12" spans="1:10" ht="115.5">
      <c r="A12" s="10" t="s">
        <v>52</v>
      </c>
      <c r="B12" s="22" t="s">
        <v>43</v>
      </c>
      <c r="C12" s="9" t="s">
        <v>23</v>
      </c>
      <c r="D12" s="10" t="s">
        <v>53</v>
      </c>
      <c r="E12" s="52" t="s">
        <v>32</v>
      </c>
      <c r="F12" s="10" t="s">
        <v>54</v>
      </c>
      <c r="G12" s="9" t="s">
        <v>55</v>
      </c>
      <c r="H12" s="10" t="s">
        <v>56</v>
      </c>
      <c r="I12" s="41">
        <v>45555</v>
      </c>
      <c r="J12" s="58" t="s">
        <v>25</v>
      </c>
    </row>
    <row r="13" spans="1:10" ht="96.75">
      <c r="A13" s="39" t="s">
        <v>57</v>
      </c>
      <c r="B13" s="39" t="s">
        <v>58</v>
      </c>
      <c r="C13" s="40" t="s">
        <v>59</v>
      </c>
      <c r="D13" s="40" t="s">
        <v>60</v>
      </c>
      <c r="E13" s="52" t="s">
        <v>15</v>
      </c>
      <c r="F13" s="10" t="s">
        <v>61</v>
      </c>
      <c r="G13" s="9" t="s">
        <v>50</v>
      </c>
      <c r="H13" s="9"/>
      <c r="I13" s="41">
        <v>45555</v>
      </c>
      <c r="J13" s="58" t="s">
        <v>62</v>
      </c>
    </row>
    <row r="14" spans="1:10" ht="61.5">
      <c r="A14" s="10" t="s">
        <v>57</v>
      </c>
      <c r="B14" s="22" t="s">
        <v>18</v>
      </c>
      <c r="C14" s="9" t="s">
        <v>63</v>
      </c>
      <c r="D14" s="10" t="s">
        <v>64</v>
      </c>
      <c r="E14" s="59" t="s">
        <v>65</v>
      </c>
      <c r="F14"/>
      <c r="G14"/>
      <c r="H14"/>
      <c r="I14"/>
      <c r="J14" s="58" t="s">
        <v>66</v>
      </c>
    </row>
    <row r="15" spans="1:10" ht="28.5">
      <c r="A15" s="9" t="s">
        <v>67</v>
      </c>
      <c r="B15" s="9" t="s">
        <v>43</v>
      </c>
      <c r="C15" s="10" t="s">
        <v>63</v>
      </c>
      <c r="D15" s="10"/>
      <c r="E15" s="59" t="s">
        <v>65</v>
      </c>
      <c r="F15" s="94" t="s">
        <v>68</v>
      </c>
      <c r="G15" s="101"/>
      <c r="H15" s="98" t="s">
        <v>69</v>
      </c>
      <c r="I15" s="100" t="s">
        <v>70</v>
      </c>
      <c r="J15" s="58" t="s">
        <v>66</v>
      </c>
    </row>
    <row r="16" spans="1:10" ht="30" customHeight="1">
      <c r="A16" s="39" t="s">
        <v>71</v>
      </c>
      <c r="B16" s="39" t="s">
        <v>58</v>
      </c>
      <c r="C16" s="40" t="s">
        <v>63</v>
      </c>
      <c r="D16" s="40"/>
      <c r="E16" s="59" t="s">
        <v>65</v>
      </c>
      <c r="F16" s="95"/>
      <c r="G16" s="101"/>
      <c r="H16" s="98"/>
      <c r="I16" s="101"/>
      <c r="J16" s="58" t="s">
        <v>66</v>
      </c>
    </row>
    <row r="17" spans="1:10" ht="28.5">
      <c r="A17" s="9" t="s">
        <v>72</v>
      </c>
      <c r="B17" s="9" t="s">
        <v>58</v>
      </c>
      <c r="C17" s="10" t="s">
        <v>63</v>
      </c>
      <c r="D17" s="10"/>
      <c r="E17" s="59" t="s">
        <v>65</v>
      </c>
      <c r="F17" s="95"/>
      <c r="G17" s="101"/>
      <c r="H17" s="98"/>
      <c r="I17" s="101"/>
      <c r="J17" s="58" t="s">
        <v>66</v>
      </c>
    </row>
    <row r="18" spans="1:10" ht="28.5">
      <c r="A18" s="39" t="s">
        <v>73</v>
      </c>
      <c r="B18" s="39" t="s">
        <v>58</v>
      </c>
      <c r="C18" s="40" t="s">
        <v>63</v>
      </c>
      <c r="D18" s="40"/>
      <c r="E18" s="59" t="s">
        <v>65</v>
      </c>
      <c r="F18" s="95"/>
      <c r="G18" s="101"/>
      <c r="H18" s="98"/>
      <c r="I18" s="101"/>
      <c r="J18" s="58" t="s">
        <v>66</v>
      </c>
    </row>
    <row r="19" spans="1:10" ht="28.5">
      <c r="A19" s="9" t="s">
        <v>74</v>
      </c>
      <c r="B19" s="9" t="s">
        <v>43</v>
      </c>
      <c r="C19" s="10" t="s">
        <v>63</v>
      </c>
      <c r="D19" s="10"/>
      <c r="E19" s="59" t="s">
        <v>65</v>
      </c>
      <c r="F19" s="95"/>
      <c r="G19" s="101"/>
      <c r="H19" s="98"/>
      <c r="I19" s="101"/>
      <c r="J19" s="58" t="s">
        <v>66</v>
      </c>
    </row>
    <row r="20" spans="1:10" ht="28.5">
      <c r="A20" s="39" t="s">
        <v>75</v>
      </c>
      <c r="B20" s="39" t="s">
        <v>43</v>
      </c>
      <c r="C20" s="40" t="s">
        <v>63</v>
      </c>
      <c r="D20" s="40"/>
      <c r="E20" s="59" t="s">
        <v>65</v>
      </c>
      <c r="F20" s="95"/>
      <c r="G20" s="101"/>
      <c r="H20" s="98"/>
      <c r="I20" s="101"/>
      <c r="J20" s="58" t="s">
        <v>66</v>
      </c>
    </row>
    <row r="21" spans="1:10" ht="15" customHeight="1">
      <c r="A21" s="9" t="s">
        <v>76</v>
      </c>
      <c r="B21" s="9" t="s">
        <v>77</v>
      </c>
      <c r="C21" s="10" t="s">
        <v>63</v>
      </c>
      <c r="D21" s="10"/>
      <c r="E21" s="59" t="s">
        <v>65</v>
      </c>
      <c r="F21" s="95"/>
      <c r="G21" s="102"/>
      <c r="H21" s="99"/>
      <c r="I21" s="102"/>
      <c r="J21" s="58" t="s">
        <v>66</v>
      </c>
    </row>
    <row r="22" spans="1:10" ht="28.5">
      <c r="A22" s="9" t="s">
        <v>78</v>
      </c>
      <c r="B22" s="9" t="s">
        <v>58</v>
      </c>
      <c r="C22" s="10" t="s">
        <v>63</v>
      </c>
      <c r="D22" s="10"/>
      <c r="E22" s="59" t="s">
        <v>65</v>
      </c>
      <c r="F22" s="96"/>
      <c r="G22" s="101"/>
      <c r="H22" s="98"/>
      <c r="I22" s="101"/>
      <c r="J22" s="58" t="s">
        <v>66</v>
      </c>
    </row>
    <row r="23" spans="1:10" ht="28.5">
      <c r="A23" s="9" t="s">
        <v>79</v>
      </c>
      <c r="B23" s="9" t="s">
        <v>80</v>
      </c>
      <c r="C23" s="10" t="s">
        <v>63</v>
      </c>
      <c r="D23" s="10"/>
      <c r="E23" s="59" t="s">
        <v>65</v>
      </c>
      <c r="F23"/>
      <c r="G23"/>
      <c r="H23"/>
      <c r="I23"/>
      <c r="J23" s="58" t="s">
        <v>66</v>
      </c>
    </row>
    <row r="24" spans="1:10" ht="28.5">
      <c r="A24" s="10" t="s">
        <v>81</v>
      </c>
      <c r="B24" s="10" t="s">
        <v>18</v>
      </c>
      <c r="C24" s="9" t="s">
        <v>63</v>
      </c>
      <c r="D24" s="10"/>
      <c r="E24" s="59" t="s">
        <v>65</v>
      </c>
      <c r="F24"/>
      <c r="G24"/>
      <c r="H24"/>
      <c r="I24"/>
      <c r="J24" s="58" t="s">
        <v>66</v>
      </c>
    </row>
    <row r="25" spans="1:10" ht="132">
      <c r="H25" s="10" t="s">
        <v>82</v>
      </c>
    </row>
  </sheetData>
  <autoFilter ref="A2:J25" xr:uid="{2CA222E9-5D70-450C-989C-8180C334155A}"/>
  <mergeCells count="11">
    <mergeCell ref="J1:J2"/>
    <mergeCell ref="A1:D1"/>
    <mergeCell ref="E1:E2"/>
    <mergeCell ref="F1:F2"/>
    <mergeCell ref="G1:G2"/>
    <mergeCell ref="F15:F22"/>
    <mergeCell ref="H1:H2"/>
    <mergeCell ref="I1:I2"/>
    <mergeCell ref="H15:H22"/>
    <mergeCell ref="I15:I22"/>
    <mergeCell ref="G15:G22"/>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7C529-7857-443D-B213-EEC1467B6DD8}">
  <sheetPr>
    <tabColor rgb="FFFF0000"/>
  </sheetPr>
  <dimension ref="A1:BJ90"/>
  <sheetViews>
    <sheetView showGridLines="0" tabSelected="1" zoomScale="75" zoomScaleNormal="75" workbookViewId="0">
      <pane xSplit="3" ySplit="3" topLeftCell="AI45" activePane="bottomRight" state="frozen"/>
      <selection pane="bottomRight" activeCell="AK51" sqref="AK51"/>
      <selection pane="bottomLeft" activeCell="A4" sqref="A4"/>
      <selection pane="topRight" activeCell="C1" sqref="C1"/>
    </sheetView>
  </sheetViews>
  <sheetFormatPr defaultRowHeight="16.5" outlineLevelRow="1" outlineLevelCol="1"/>
  <cols>
    <col min="1" max="2" width="15.5" style="10" customWidth="1"/>
    <col min="3" max="3" width="22.375" style="10" customWidth="1"/>
    <col min="4" max="4" width="21.375" style="10" customWidth="1"/>
    <col min="5" max="5" width="22.25" style="10" customWidth="1"/>
    <col min="6" max="6" width="20.625" style="10" customWidth="1" outlineLevel="1"/>
    <col min="7" max="7" width="9.875" style="10" customWidth="1" outlineLevel="1"/>
    <col min="8" max="8" width="54" style="10" customWidth="1" outlineLevel="1"/>
    <col min="9" max="9" width="9.875" style="10" customWidth="1" outlineLevel="1"/>
    <col min="10" max="10" width="26.5" style="10" customWidth="1"/>
    <col min="11" max="11" width="21.25" style="10" customWidth="1" outlineLevel="1"/>
    <col min="12" max="12" width="9.375" style="10" customWidth="1" outlineLevel="1"/>
    <col min="13" max="13" width="53.625" style="10" customWidth="1" outlineLevel="1"/>
    <col min="14" max="14" width="9.375" style="10" customWidth="1" outlineLevel="1"/>
    <col min="15" max="15" width="11.875" style="10" customWidth="1" outlineLevel="1"/>
    <col min="16" max="16" width="20" style="10" customWidth="1" outlineLevel="1"/>
    <col min="17" max="17" width="9.375" style="10" customWidth="1" outlineLevel="1"/>
    <col min="18" max="18" width="14.75" style="10" customWidth="1"/>
    <col min="19" max="19" width="20.375" style="10" customWidth="1" outlineLevel="1"/>
    <col min="20" max="20" width="9.875" style="10" customWidth="1" outlineLevel="1"/>
    <col min="21" max="21" width="54.875" style="10" customWidth="1" outlineLevel="1"/>
    <col min="22" max="22" width="9.875" style="10" customWidth="1" outlineLevel="1"/>
    <col min="23" max="23" width="22.375" style="10" customWidth="1"/>
    <col min="24" max="24" width="21.5" style="10" customWidth="1" outlineLevel="1"/>
    <col min="25" max="25" width="11.75" style="10" customWidth="1" outlineLevel="1"/>
    <col min="26" max="26" width="57" style="10" customWidth="1" outlineLevel="1"/>
    <col min="27" max="27" width="9.375" style="10" customWidth="1" outlineLevel="1"/>
    <col min="28" max="28" width="19.625" style="10" customWidth="1" outlineLevel="1"/>
    <col min="29" max="29" width="20.375" style="10" customWidth="1" outlineLevel="1"/>
    <col min="30" max="30" width="11.875" style="10" customWidth="1" outlineLevel="1"/>
    <col min="31" max="31" width="22.375" style="10" customWidth="1"/>
    <col min="32" max="32" width="20.375" style="10" customWidth="1" outlineLevel="1"/>
    <col min="33" max="33" width="9.875" style="10" customWidth="1" outlineLevel="1"/>
    <col min="34" max="34" width="55.25" style="10" customWidth="1" outlineLevel="1"/>
    <col min="35" max="35" width="9.875" style="10" customWidth="1" outlineLevel="1"/>
    <col min="36" max="36" width="17.625" style="10" customWidth="1"/>
    <col min="37" max="37" width="19.625" style="10" customWidth="1" outlineLevel="1"/>
    <col min="38" max="38" width="9.25" style="10" customWidth="1" outlineLevel="1"/>
    <col min="39" max="39" width="16.75" style="10" customWidth="1" outlineLevel="1"/>
    <col min="40" max="40" width="9.25" style="10" customWidth="1" outlineLevel="1"/>
    <col min="41" max="41" width="13.5" style="10" customWidth="1"/>
    <col min="42" max="42" width="19.625" style="10" customWidth="1" outlineLevel="1"/>
    <col min="43" max="43" width="9.25" style="10" customWidth="1" outlineLevel="1"/>
    <col min="44" max="44" width="16.75" style="10" customWidth="1" outlineLevel="1"/>
    <col min="45" max="45" width="6.375" style="10" customWidth="1" outlineLevel="1"/>
    <col min="46" max="46" width="20.625" style="10" customWidth="1"/>
    <col min="47" max="47" width="20.75" style="10" customWidth="1" outlineLevel="1"/>
    <col min="48" max="48" width="9.75" style="10" customWidth="1" outlineLevel="1"/>
    <col min="49" max="49" width="16.75" style="10" customWidth="1" outlineLevel="1"/>
    <col min="50" max="50" width="6.375" style="10" customWidth="1" outlineLevel="1"/>
    <col min="51" max="51" width="21.625" style="10" customWidth="1"/>
    <col min="52" max="52" width="6.75" style="10" customWidth="1" outlineLevel="1"/>
    <col min="53" max="53" width="6.375" style="10" customWidth="1" outlineLevel="1"/>
    <col min="54" max="54" width="64.625" style="10" customWidth="1" outlineLevel="1"/>
    <col min="55" max="55" width="9.75" style="10" customWidth="1" outlineLevel="1"/>
    <col min="56" max="56" width="21.875" style="10" customWidth="1"/>
    <col min="57" max="57" width="14.75" style="10" customWidth="1"/>
    <col min="58" max="58" width="19.625" style="10" customWidth="1" outlineLevel="1"/>
    <col min="59" max="59" width="8.875" style="10" customWidth="1" outlineLevel="1"/>
    <col min="60" max="60" width="54.75" style="10" customWidth="1" outlineLevel="1"/>
    <col min="61" max="61" width="15.75" style="10" customWidth="1" outlineLevel="1"/>
    <col min="62" max="62" width="54" style="67" customWidth="1" outlineLevel="1"/>
    <col min="63" max="16384" width="9" style="10"/>
  </cols>
  <sheetData>
    <row r="1" spans="1:62">
      <c r="A1" s="110" t="s">
        <v>83</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66"/>
    </row>
    <row r="2" spans="1:62" s="9" customFormat="1">
      <c r="A2" s="109" t="s">
        <v>84</v>
      </c>
      <c r="B2" s="109" t="s">
        <v>85</v>
      </c>
      <c r="C2" s="109" t="s">
        <v>86</v>
      </c>
      <c r="D2" s="109" t="s">
        <v>87</v>
      </c>
      <c r="E2" s="112" t="s">
        <v>88</v>
      </c>
      <c r="F2" s="112"/>
      <c r="G2" s="112"/>
      <c r="H2" s="112"/>
      <c r="I2" s="112"/>
      <c r="J2" s="115" t="s">
        <v>89</v>
      </c>
      <c r="K2" s="115"/>
      <c r="L2" s="115"/>
      <c r="M2" s="115"/>
      <c r="N2" s="115"/>
      <c r="O2" s="115"/>
      <c r="P2" s="115"/>
      <c r="Q2" s="115"/>
      <c r="R2" s="113" t="s">
        <v>90</v>
      </c>
      <c r="S2" s="113"/>
      <c r="T2" s="113"/>
      <c r="U2" s="113"/>
      <c r="V2" s="113"/>
      <c r="W2" s="120" t="s">
        <v>91</v>
      </c>
      <c r="X2" s="120"/>
      <c r="Y2" s="120"/>
      <c r="Z2" s="120"/>
      <c r="AA2" s="120"/>
      <c r="AB2" s="120"/>
      <c r="AC2" s="120"/>
      <c r="AD2" s="120"/>
      <c r="AE2" s="114" t="s">
        <v>92</v>
      </c>
      <c r="AF2" s="114"/>
      <c r="AG2" s="114"/>
      <c r="AH2" s="114"/>
      <c r="AI2" s="114"/>
      <c r="AJ2" s="116" t="s">
        <v>93</v>
      </c>
      <c r="AK2" s="116"/>
      <c r="AL2" s="116"/>
      <c r="AM2" s="116"/>
      <c r="AN2" s="116"/>
      <c r="AO2" s="117" t="s">
        <v>94</v>
      </c>
      <c r="AP2" s="117"/>
      <c r="AQ2" s="117"/>
      <c r="AR2" s="117"/>
      <c r="AS2" s="117"/>
      <c r="AT2" s="118" t="s">
        <v>95</v>
      </c>
      <c r="AU2" s="118"/>
      <c r="AV2" s="118"/>
      <c r="AW2" s="118"/>
      <c r="AX2" s="118"/>
      <c r="AY2" s="119" t="s">
        <v>96</v>
      </c>
      <c r="AZ2" s="119"/>
      <c r="BA2" s="119"/>
      <c r="BB2" s="119"/>
      <c r="BC2" s="119"/>
      <c r="BD2" s="111" t="s">
        <v>97</v>
      </c>
      <c r="BE2" s="111"/>
      <c r="BF2" s="111"/>
      <c r="BG2" s="111"/>
      <c r="BH2" s="111"/>
      <c r="BI2" s="111"/>
      <c r="BJ2" s="89"/>
    </row>
    <row r="3" spans="1:62" ht="28.5">
      <c r="A3" s="109"/>
      <c r="B3" s="109"/>
      <c r="C3" s="109"/>
      <c r="D3" s="109"/>
      <c r="E3" s="84" t="s">
        <v>98</v>
      </c>
      <c r="F3" s="84" t="s">
        <v>99</v>
      </c>
      <c r="G3" s="84" t="s">
        <v>100</v>
      </c>
      <c r="H3" s="84" t="s">
        <v>101</v>
      </c>
      <c r="I3" s="84" t="s">
        <v>100</v>
      </c>
      <c r="J3" s="85" t="s">
        <v>102</v>
      </c>
      <c r="K3" s="85" t="s">
        <v>99</v>
      </c>
      <c r="L3" s="85" t="s">
        <v>100</v>
      </c>
      <c r="M3" s="85" t="s">
        <v>101</v>
      </c>
      <c r="N3" s="85" t="s">
        <v>100</v>
      </c>
      <c r="O3" s="85" t="s">
        <v>103</v>
      </c>
      <c r="P3" s="85" t="s">
        <v>99</v>
      </c>
      <c r="Q3" s="85" t="s">
        <v>100</v>
      </c>
      <c r="R3" s="71" t="s">
        <v>98</v>
      </c>
      <c r="S3" s="71" t="s">
        <v>99</v>
      </c>
      <c r="T3" s="71" t="s">
        <v>100</v>
      </c>
      <c r="U3" s="71" t="s">
        <v>101</v>
      </c>
      <c r="V3" s="71" t="s">
        <v>100</v>
      </c>
      <c r="W3" s="86" t="s">
        <v>104</v>
      </c>
      <c r="X3" s="86" t="s">
        <v>99</v>
      </c>
      <c r="Y3" s="86" t="s">
        <v>100</v>
      </c>
      <c r="Z3" s="86" t="s">
        <v>101</v>
      </c>
      <c r="AA3" s="86" t="s">
        <v>100</v>
      </c>
      <c r="AB3" s="86" t="s">
        <v>103</v>
      </c>
      <c r="AC3" s="86" t="s">
        <v>99</v>
      </c>
      <c r="AD3" s="86" t="s">
        <v>100</v>
      </c>
      <c r="AE3" s="90" t="s">
        <v>98</v>
      </c>
      <c r="AF3" s="90" t="s">
        <v>99</v>
      </c>
      <c r="AG3" s="90" t="s">
        <v>100</v>
      </c>
      <c r="AH3" s="90" t="s">
        <v>101</v>
      </c>
      <c r="AI3" s="90" t="s">
        <v>100</v>
      </c>
      <c r="AJ3" s="91" t="s">
        <v>105</v>
      </c>
      <c r="AK3" s="91" t="s">
        <v>99</v>
      </c>
      <c r="AL3" s="91" t="s">
        <v>100</v>
      </c>
      <c r="AM3" s="91" t="s">
        <v>101</v>
      </c>
      <c r="AN3" s="91" t="s">
        <v>100</v>
      </c>
      <c r="AO3" s="81" t="s">
        <v>98</v>
      </c>
      <c r="AP3" s="81" t="s">
        <v>99</v>
      </c>
      <c r="AQ3" s="81" t="s">
        <v>100</v>
      </c>
      <c r="AR3" s="81" t="s">
        <v>101</v>
      </c>
      <c r="AS3" s="81" t="s">
        <v>100</v>
      </c>
      <c r="AT3" s="92" t="s">
        <v>98</v>
      </c>
      <c r="AU3" s="92" t="s">
        <v>99</v>
      </c>
      <c r="AV3" s="92" t="s">
        <v>100</v>
      </c>
      <c r="AW3" s="92" t="s">
        <v>101</v>
      </c>
      <c r="AX3" s="92" t="s">
        <v>100</v>
      </c>
      <c r="AY3" s="88" t="s">
        <v>98</v>
      </c>
      <c r="AZ3" s="88" t="s">
        <v>99</v>
      </c>
      <c r="BA3" s="88" t="s">
        <v>100</v>
      </c>
      <c r="BB3" s="88" t="s">
        <v>101</v>
      </c>
      <c r="BC3" s="88" t="s">
        <v>100</v>
      </c>
      <c r="BD3" s="75" t="s">
        <v>87</v>
      </c>
      <c r="BE3" s="75" t="s">
        <v>98</v>
      </c>
      <c r="BF3" s="75" t="s">
        <v>99</v>
      </c>
      <c r="BG3" s="75" t="s">
        <v>100</v>
      </c>
      <c r="BH3" s="75" t="s">
        <v>101</v>
      </c>
      <c r="BI3" s="75" t="s">
        <v>100</v>
      </c>
      <c r="BJ3" s="72" t="s">
        <v>106</v>
      </c>
    </row>
    <row r="4" spans="1:62" ht="33">
      <c r="A4" s="109" t="s">
        <v>107</v>
      </c>
      <c r="B4" s="109">
        <v>1</v>
      </c>
      <c r="C4" s="79">
        <v>1</v>
      </c>
      <c r="D4" s="79"/>
      <c r="E4" s="78">
        <v>44860</v>
      </c>
      <c r="F4" s="77" t="s">
        <v>108</v>
      </c>
      <c r="G4" s="77">
        <v>14098020</v>
      </c>
      <c r="H4" s="77" t="s">
        <v>109</v>
      </c>
      <c r="I4" s="77">
        <v>14197567</v>
      </c>
      <c r="J4" s="79"/>
      <c r="K4" s="79"/>
      <c r="L4" s="79"/>
      <c r="M4" s="79"/>
      <c r="N4" s="79"/>
      <c r="O4" s="79" t="s">
        <v>110</v>
      </c>
      <c r="P4" s="79" t="s">
        <v>110</v>
      </c>
      <c r="Q4" s="79" t="s">
        <v>110</v>
      </c>
      <c r="R4" s="78">
        <v>44893</v>
      </c>
      <c r="S4" s="77" t="s">
        <v>111</v>
      </c>
      <c r="T4" s="77">
        <v>14517565</v>
      </c>
      <c r="U4" s="77" t="s">
        <v>112</v>
      </c>
      <c r="V4" s="77">
        <v>15199406</v>
      </c>
      <c r="W4" s="79"/>
      <c r="X4" s="79"/>
      <c r="Y4" s="79"/>
      <c r="Z4" s="79"/>
      <c r="AA4" s="79"/>
      <c r="AB4" s="79"/>
      <c r="AC4" s="79"/>
      <c r="AD4" s="79"/>
      <c r="AE4" s="78">
        <v>45007</v>
      </c>
      <c r="AF4" s="77" t="s">
        <v>113</v>
      </c>
      <c r="AG4" s="77">
        <v>16070117</v>
      </c>
      <c r="AH4" s="77" t="s">
        <v>114</v>
      </c>
      <c r="AI4" s="77">
        <v>16161724</v>
      </c>
      <c r="AJ4" s="79"/>
      <c r="AK4" s="79"/>
      <c r="AL4" s="79"/>
      <c r="AM4" s="79"/>
      <c r="AN4" s="79"/>
      <c r="AO4" s="70"/>
      <c r="AP4" s="70"/>
      <c r="AQ4" s="70"/>
      <c r="AR4" s="70"/>
      <c r="AS4" s="70"/>
      <c r="AT4" s="79"/>
      <c r="AU4" s="79"/>
      <c r="AV4" s="79"/>
      <c r="AW4" s="79"/>
      <c r="AX4" s="79"/>
      <c r="AY4" s="68"/>
      <c r="AZ4" s="68"/>
      <c r="BA4" s="68"/>
      <c r="BB4" s="68"/>
      <c r="BC4" s="68"/>
      <c r="BD4" s="74"/>
      <c r="BE4" s="74"/>
      <c r="BF4" s="74"/>
      <c r="BG4" s="74"/>
      <c r="BH4" s="74"/>
      <c r="BI4" s="74"/>
      <c r="BJ4" s="83"/>
    </row>
    <row r="5" spans="1:62" outlineLevel="1">
      <c r="A5" s="109"/>
      <c r="B5" s="109"/>
      <c r="C5" s="79">
        <v>2</v>
      </c>
      <c r="D5" s="79"/>
      <c r="E5" s="77"/>
      <c r="F5" s="77"/>
      <c r="G5" s="77"/>
      <c r="H5" s="77"/>
      <c r="I5" s="77"/>
      <c r="J5" s="79"/>
      <c r="K5" s="79"/>
      <c r="L5" s="79"/>
      <c r="M5" s="79"/>
      <c r="N5" s="79"/>
      <c r="O5" s="79" t="s">
        <v>110</v>
      </c>
      <c r="P5" s="79" t="s">
        <v>110</v>
      </c>
      <c r="Q5" s="79" t="s">
        <v>110</v>
      </c>
      <c r="R5" s="77"/>
      <c r="S5" s="77"/>
      <c r="T5" s="77"/>
      <c r="U5" s="77"/>
      <c r="V5" s="77"/>
      <c r="W5" s="79"/>
      <c r="X5" s="79"/>
      <c r="Y5" s="79"/>
      <c r="Z5" s="79"/>
      <c r="AA5" s="79"/>
      <c r="AB5" s="79"/>
      <c r="AC5" s="79"/>
      <c r="AD5" s="79"/>
      <c r="AE5" s="77"/>
      <c r="AF5" s="77"/>
      <c r="AG5" s="77"/>
      <c r="AH5" s="77"/>
      <c r="AI5" s="77"/>
      <c r="AJ5" s="79"/>
      <c r="AK5" s="79"/>
      <c r="AL5" s="79"/>
      <c r="AM5" s="79"/>
      <c r="AN5" s="79"/>
      <c r="AO5" s="70"/>
      <c r="AP5" s="70"/>
      <c r="AQ5" s="70"/>
      <c r="AR5" s="70"/>
      <c r="AS5" s="70"/>
      <c r="AT5" s="79"/>
      <c r="AU5" s="79"/>
      <c r="AV5" s="79"/>
      <c r="AW5" s="79"/>
      <c r="AX5" s="79"/>
      <c r="AY5" s="68"/>
      <c r="AZ5" s="68"/>
      <c r="BA5" s="68"/>
      <c r="BB5" s="68"/>
      <c r="BC5" s="68"/>
      <c r="BD5" s="74"/>
      <c r="BE5" s="74"/>
      <c r="BF5" s="74"/>
      <c r="BG5" s="74"/>
      <c r="BH5" s="74"/>
      <c r="BI5" s="74"/>
      <c r="BJ5" s="83"/>
    </row>
    <row r="6" spans="1:62" outlineLevel="1">
      <c r="A6" s="109"/>
      <c r="B6" s="109"/>
      <c r="C6" s="79">
        <v>3</v>
      </c>
      <c r="D6" s="79"/>
      <c r="E6" s="77"/>
      <c r="F6" s="77"/>
      <c r="G6" s="77"/>
      <c r="H6" s="77"/>
      <c r="I6" s="77"/>
      <c r="J6" s="79"/>
      <c r="K6" s="79"/>
      <c r="L6" s="79"/>
      <c r="M6" s="79"/>
      <c r="N6" s="79"/>
      <c r="O6" s="79" t="s">
        <v>110</v>
      </c>
      <c r="P6" s="79" t="s">
        <v>110</v>
      </c>
      <c r="Q6" s="79" t="s">
        <v>110</v>
      </c>
      <c r="R6" s="77"/>
      <c r="S6" s="77"/>
      <c r="T6" s="77"/>
      <c r="U6" s="77"/>
      <c r="V6" s="77"/>
      <c r="W6" s="79"/>
      <c r="X6" s="79"/>
      <c r="Y6" s="79"/>
      <c r="Z6" s="79"/>
      <c r="AA6" s="79"/>
      <c r="AB6" s="79"/>
      <c r="AC6" s="79"/>
      <c r="AD6" s="79"/>
      <c r="AE6" s="77"/>
      <c r="AF6" s="77"/>
      <c r="AG6" s="77"/>
      <c r="AH6" s="77"/>
      <c r="AI6" s="77"/>
      <c r="AJ6" s="79"/>
      <c r="AK6" s="79"/>
      <c r="AL6" s="79"/>
      <c r="AM6" s="79"/>
      <c r="AN6" s="79"/>
      <c r="AO6" s="70"/>
      <c r="AP6" s="70"/>
      <c r="AQ6" s="70"/>
      <c r="AR6" s="70"/>
      <c r="AS6" s="70"/>
      <c r="AT6" s="79"/>
      <c r="AU6" s="79"/>
      <c r="AV6" s="79"/>
      <c r="AW6" s="79"/>
      <c r="AX6" s="79"/>
      <c r="AY6" s="68"/>
      <c r="AZ6" s="68"/>
      <c r="BA6" s="68"/>
      <c r="BB6" s="68"/>
      <c r="BC6" s="68"/>
      <c r="BD6" s="74"/>
      <c r="BE6" s="74"/>
      <c r="BF6" s="74"/>
      <c r="BG6" s="74"/>
      <c r="BH6" s="74"/>
      <c r="BI6" s="74"/>
      <c r="BJ6" s="83"/>
    </row>
    <row r="7" spans="1:62" outlineLevel="1">
      <c r="A7" s="109"/>
      <c r="B7" s="109"/>
      <c r="C7" s="79">
        <v>4</v>
      </c>
      <c r="D7" s="79"/>
      <c r="E7" s="77"/>
      <c r="F7" s="77"/>
      <c r="G7" s="77"/>
      <c r="H7" s="77"/>
      <c r="I7" s="77"/>
      <c r="J7" s="79"/>
      <c r="K7" s="79"/>
      <c r="L7" s="79"/>
      <c r="M7" s="79"/>
      <c r="N7" s="79"/>
      <c r="O7" s="79" t="s">
        <v>110</v>
      </c>
      <c r="P7" s="79" t="s">
        <v>110</v>
      </c>
      <c r="Q7" s="79" t="s">
        <v>110</v>
      </c>
      <c r="R7" s="77"/>
      <c r="S7" s="77"/>
      <c r="T7" s="77"/>
      <c r="U7" s="77"/>
      <c r="V7" s="77"/>
      <c r="W7" s="79"/>
      <c r="X7" s="79"/>
      <c r="Y7" s="79"/>
      <c r="Z7" s="79"/>
      <c r="AA7" s="79"/>
      <c r="AB7" s="79"/>
      <c r="AC7" s="79"/>
      <c r="AD7" s="79"/>
      <c r="AE7" s="77"/>
      <c r="AF7" s="77"/>
      <c r="AG7" s="77"/>
      <c r="AH7" s="77"/>
      <c r="AI7" s="77"/>
      <c r="AJ7" s="79"/>
      <c r="AK7" s="79"/>
      <c r="AL7" s="79"/>
      <c r="AM7" s="79"/>
      <c r="AN7" s="79"/>
      <c r="AO7" s="70"/>
      <c r="AP7" s="70"/>
      <c r="AQ7" s="70"/>
      <c r="AR7" s="70"/>
      <c r="AS7" s="70"/>
      <c r="AT7" s="79"/>
      <c r="AU7" s="79"/>
      <c r="AV7" s="79"/>
      <c r="AW7" s="79"/>
      <c r="AX7" s="79"/>
      <c r="AY7" s="68"/>
      <c r="AZ7" s="68"/>
      <c r="BA7" s="68"/>
      <c r="BB7" s="68"/>
      <c r="BC7" s="68"/>
      <c r="BD7" s="74"/>
      <c r="BE7" s="74"/>
      <c r="BF7" s="74"/>
      <c r="BG7" s="74"/>
      <c r="BH7" s="74"/>
      <c r="BI7" s="74"/>
      <c r="BJ7" s="83"/>
    </row>
    <row r="8" spans="1:62" outlineLevel="1">
      <c r="A8" s="109"/>
      <c r="B8" s="109"/>
      <c r="C8" s="79">
        <v>5</v>
      </c>
      <c r="D8" s="79"/>
      <c r="E8" s="77"/>
      <c r="F8" s="77"/>
      <c r="G8" s="77"/>
      <c r="H8" s="77"/>
      <c r="I8" s="77"/>
      <c r="J8" s="79"/>
      <c r="K8" s="79"/>
      <c r="L8" s="79"/>
      <c r="M8" s="79"/>
      <c r="N8" s="79"/>
      <c r="O8" s="79" t="s">
        <v>110</v>
      </c>
      <c r="P8" s="79" t="s">
        <v>110</v>
      </c>
      <c r="Q8" s="79" t="s">
        <v>110</v>
      </c>
      <c r="R8" s="77"/>
      <c r="S8" s="77"/>
      <c r="T8" s="77"/>
      <c r="U8" s="77"/>
      <c r="V8" s="77"/>
      <c r="W8" s="79"/>
      <c r="X8" s="79"/>
      <c r="Y8" s="79"/>
      <c r="Z8" s="79"/>
      <c r="AA8" s="79"/>
      <c r="AB8" s="79"/>
      <c r="AC8" s="79"/>
      <c r="AD8" s="79"/>
      <c r="AE8" s="77"/>
      <c r="AF8" s="77"/>
      <c r="AG8" s="77"/>
      <c r="AH8" s="77"/>
      <c r="AI8" s="77"/>
      <c r="AJ8" s="79"/>
      <c r="AK8" s="79"/>
      <c r="AL8" s="79"/>
      <c r="AM8" s="79"/>
      <c r="AN8" s="79"/>
      <c r="AO8" s="70"/>
      <c r="AP8" s="70"/>
      <c r="AQ8" s="70"/>
      <c r="AR8" s="70"/>
      <c r="AS8" s="70"/>
      <c r="AT8" s="79"/>
      <c r="AU8" s="79"/>
      <c r="AV8" s="79"/>
      <c r="AW8" s="79"/>
      <c r="AX8" s="79"/>
      <c r="AY8" s="68"/>
      <c r="AZ8" s="68"/>
      <c r="BA8" s="68"/>
      <c r="BB8" s="68"/>
      <c r="BC8" s="68"/>
      <c r="BD8" s="74"/>
      <c r="BE8" s="74"/>
      <c r="BF8" s="74"/>
      <c r="BG8" s="74"/>
      <c r="BH8" s="74"/>
      <c r="BI8" s="74"/>
      <c r="BJ8" s="83"/>
    </row>
    <row r="9" spans="1:62" outlineLevel="1">
      <c r="A9" s="109"/>
      <c r="B9" s="109"/>
      <c r="C9" s="79">
        <v>6</v>
      </c>
      <c r="D9" s="79"/>
      <c r="E9" s="77"/>
      <c r="F9" s="77"/>
      <c r="G9" s="77"/>
      <c r="H9" s="77"/>
      <c r="I9" s="77"/>
      <c r="J9" s="79"/>
      <c r="K9" s="79"/>
      <c r="L9" s="79"/>
      <c r="M9" s="79"/>
      <c r="N9" s="79"/>
      <c r="O9" s="79" t="s">
        <v>110</v>
      </c>
      <c r="P9" s="79" t="s">
        <v>110</v>
      </c>
      <c r="Q9" s="79" t="s">
        <v>110</v>
      </c>
      <c r="R9" s="77"/>
      <c r="S9" s="77"/>
      <c r="T9" s="77"/>
      <c r="U9" s="77"/>
      <c r="V9" s="77"/>
      <c r="W9" s="79"/>
      <c r="X9" s="79"/>
      <c r="Y9" s="79"/>
      <c r="Z9" s="79"/>
      <c r="AA9" s="79"/>
      <c r="AB9" s="79"/>
      <c r="AC9" s="79"/>
      <c r="AD9" s="79"/>
      <c r="AE9" s="77"/>
      <c r="AF9" s="77"/>
      <c r="AG9" s="77"/>
      <c r="AH9" s="77"/>
      <c r="AI9" s="77"/>
      <c r="AJ9" s="79"/>
      <c r="AK9" s="79"/>
      <c r="AL9" s="79"/>
      <c r="AM9" s="79"/>
      <c r="AN9" s="79"/>
      <c r="AO9" s="70"/>
      <c r="AP9" s="70"/>
      <c r="AQ9" s="70"/>
      <c r="AR9" s="70"/>
      <c r="AS9" s="70"/>
      <c r="AT9" s="79"/>
      <c r="AU9" s="79"/>
      <c r="AV9" s="79"/>
      <c r="AW9" s="79"/>
      <c r="AX9" s="79"/>
      <c r="AY9" s="68"/>
      <c r="AZ9" s="68"/>
      <c r="BA9" s="68"/>
      <c r="BB9" s="68"/>
      <c r="BC9" s="68"/>
      <c r="BD9" s="74"/>
      <c r="BE9" s="74"/>
      <c r="BF9" s="74"/>
      <c r="BG9" s="74"/>
      <c r="BH9" s="74"/>
      <c r="BI9" s="74"/>
      <c r="BJ9" s="83"/>
    </row>
    <row r="10" spans="1:62" outlineLevel="1">
      <c r="A10" s="109"/>
      <c r="B10" s="109"/>
      <c r="C10" s="79">
        <v>7</v>
      </c>
      <c r="D10" s="79"/>
      <c r="E10" s="77"/>
      <c r="F10" s="77"/>
      <c r="G10" s="77"/>
      <c r="H10" s="77"/>
      <c r="I10" s="77"/>
      <c r="J10" s="79"/>
      <c r="K10" s="79"/>
      <c r="L10" s="79"/>
      <c r="M10" s="79"/>
      <c r="N10" s="79"/>
      <c r="O10" s="79" t="s">
        <v>110</v>
      </c>
      <c r="P10" s="79" t="s">
        <v>110</v>
      </c>
      <c r="Q10" s="79" t="s">
        <v>110</v>
      </c>
      <c r="R10" s="77"/>
      <c r="S10" s="77"/>
      <c r="T10" s="77"/>
      <c r="U10" s="77"/>
      <c r="V10" s="77"/>
      <c r="W10" s="79"/>
      <c r="X10" s="79"/>
      <c r="Y10" s="79"/>
      <c r="Z10" s="79"/>
      <c r="AA10" s="79"/>
      <c r="AB10" s="79"/>
      <c r="AC10" s="79"/>
      <c r="AD10" s="79"/>
      <c r="AE10" s="77"/>
      <c r="AF10" s="77"/>
      <c r="AG10" s="77"/>
      <c r="AH10" s="77"/>
      <c r="AI10" s="77"/>
      <c r="AJ10" s="79"/>
      <c r="AK10" s="79"/>
      <c r="AL10" s="79"/>
      <c r="AM10" s="79"/>
      <c r="AN10" s="79"/>
      <c r="AO10" s="70"/>
      <c r="AP10" s="70"/>
      <c r="AQ10" s="70"/>
      <c r="AR10" s="70"/>
      <c r="AS10" s="70"/>
      <c r="AT10" s="79"/>
      <c r="AU10" s="79"/>
      <c r="AV10" s="79"/>
      <c r="AW10" s="79"/>
      <c r="AX10" s="79"/>
      <c r="AY10" s="68"/>
      <c r="AZ10" s="68"/>
      <c r="BA10" s="68"/>
      <c r="BB10" s="68"/>
      <c r="BC10" s="68"/>
      <c r="BD10" s="74"/>
      <c r="BE10" s="74"/>
      <c r="BF10" s="74"/>
      <c r="BG10" s="74"/>
      <c r="BH10" s="74"/>
      <c r="BI10" s="74"/>
      <c r="BJ10" s="83"/>
    </row>
    <row r="11" spans="1:62" outlineLevel="1">
      <c r="A11" s="109"/>
      <c r="B11" s="109"/>
      <c r="C11" s="79">
        <v>8</v>
      </c>
      <c r="D11" s="79"/>
      <c r="E11" s="77"/>
      <c r="F11" s="77"/>
      <c r="G11" s="77"/>
      <c r="H11" s="77"/>
      <c r="I11" s="77"/>
      <c r="J11" s="79"/>
      <c r="K11" s="79"/>
      <c r="L11" s="79"/>
      <c r="M11" s="79"/>
      <c r="N11" s="79"/>
      <c r="O11" s="79" t="s">
        <v>110</v>
      </c>
      <c r="P11" s="79" t="s">
        <v>110</v>
      </c>
      <c r="Q11" s="79" t="s">
        <v>110</v>
      </c>
      <c r="R11" s="77"/>
      <c r="S11" s="77"/>
      <c r="T11" s="77"/>
      <c r="U11" s="77"/>
      <c r="V11" s="77"/>
      <c r="W11" s="79"/>
      <c r="X11" s="79"/>
      <c r="Y11" s="79"/>
      <c r="Z11" s="79"/>
      <c r="AA11" s="79"/>
      <c r="AB11" s="79"/>
      <c r="AC11" s="79"/>
      <c r="AD11" s="79"/>
      <c r="AE11" s="77"/>
      <c r="AF11" s="77"/>
      <c r="AG11" s="77"/>
      <c r="AH11" s="77"/>
      <c r="AI11" s="77"/>
      <c r="AJ11" s="79"/>
      <c r="AK11" s="79"/>
      <c r="AL11" s="79"/>
      <c r="AM11" s="79"/>
      <c r="AN11" s="79"/>
      <c r="AO11" s="70"/>
      <c r="AP11" s="70"/>
      <c r="AQ11" s="70"/>
      <c r="AR11" s="70"/>
      <c r="AS11" s="70"/>
      <c r="AT11" s="79"/>
      <c r="AU11" s="79"/>
      <c r="AV11" s="79"/>
      <c r="AW11" s="79"/>
      <c r="AX11" s="79"/>
      <c r="AY11" s="68"/>
      <c r="AZ11" s="68"/>
      <c r="BA11" s="68"/>
      <c r="BB11" s="68"/>
      <c r="BC11" s="68"/>
      <c r="BD11" s="74"/>
      <c r="BE11" s="74"/>
      <c r="BF11" s="74"/>
      <c r="BG11" s="74"/>
      <c r="BH11" s="74"/>
      <c r="BI11" s="74"/>
      <c r="BJ11" s="83"/>
    </row>
    <row r="12" spans="1:62" outlineLevel="1">
      <c r="A12" s="109"/>
      <c r="B12" s="109"/>
      <c r="C12" s="79">
        <v>9</v>
      </c>
      <c r="D12" s="79"/>
      <c r="E12" s="77"/>
      <c r="F12" s="77"/>
      <c r="G12" s="77"/>
      <c r="H12" s="77"/>
      <c r="I12" s="77"/>
      <c r="J12" s="79"/>
      <c r="K12" s="79"/>
      <c r="L12" s="79"/>
      <c r="M12" s="79"/>
      <c r="N12" s="79"/>
      <c r="O12" s="79" t="s">
        <v>110</v>
      </c>
      <c r="P12" s="79" t="s">
        <v>110</v>
      </c>
      <c r="Q12" s="79" t="s">
        <v>110</v>
      </c>
      <c r="R12" s="77"/>
      <c r="S12" s="77"/>
      <c r="T12" s="77"/>
      <c r="U12" s="77"/>
      <c r="V12" s="77"/>
      <c r="W12" s="79"/>
      <c r="X12" s="79"/>
      <c r="Y12" s="79"/>
      <c r="Z12" s="79"/>
      <c r="AA12" s="79"/>
      <c r="AB12" s="79"/>
      <c r="AC12" s="79"/>
      <c r="AD12" s="79"/>
      <c r="AE12" s="77"/>
      <c r="AF12" s="77"/>
      <c r="AG12" s="77"/>
      <c r="AH12" s="77"/>
      <c r="AI12" s="77"/>
      <c r="AJ12" s="79"/>
      <c r="AK12" s="79"/>
      <c r="AL12" s="79"/>
      <c r="AM12" s="79"/>
      <c r="AN12" s="79"/>
      <c r="AO12" s="70"/>
      <c r="AP12" s="70"/>
      <c r="AQ12" s="70"/>
      <c r="AR12" s="70"/>
      <c r="AS12" s="70"/>
      <c r="AT12" s="79"/>
      <c r="AU12" s="79"/>
      <c r="AV12" s="79"/>
      <c r="AW12" s="79"/>
      <c r="AX12" s="79"/>
      <c r="AY12" s="68"/>
      <c r="AZ12" s="68"/>
      <c r="BA12" s="68"/>
      <c r="BB12" s="68"/>
      <c r="BC12" s="68"/>
      <c r="BD12" s="74"/>
      <c r="BE12" s="74"/>
      <c r="BF12" s="74"/>
      <c r="BG12" s="74"/>
      <c r="BH12" s="74"/>
      <c r="BI12" s="74"/>
      <c r="BJ12" s="83"/>
    </row>
    <row r="13" spans="1:62" outlineLevel="1">
      <c r="A13" s="109"/>
      <c r="B13" s="109"/>
      <c r="C13" s="79">
        <v>10</v>
      </c>
      <c r="D13" s="79"/>
      <c r="E13" s="77"/>
      <c r="F13" s="77"/>
      <c r="G13" s="77"/>
      <c r="H13" s="77"/>
      <c r="I13" s="77"/>
      <c r="J13" s="79"/>
      <c r="K13" s="79"/>
      <c r="L13" s="79"/>
      <c r="M13" s="79"/>
      <c r="N13" s="79"/>
      <c r="O13" s="79" t="s">
        <v>110</v>
      </c>
      <c r="P13" s="79" t="s">
        <v>110</v>
      </c>
      <c r="Q13" s="79" t="s">
        <v>110</v>
      </c>
      <c r="R13" s="77"/>
      <c r="S13" s="77"/>
      <c r="T13" s="77"/>
      <c r="U13" s="77"/>
      <c r="V13" s="77"/>
      <c r="W13" s="79"/>
      <c r="X13" s="79"/>
      <c r="Y13" s="79"/>
      <c r="Z13" s="79"/>
      <c r="AA13" s="79"/>
      <c r="AB13" s="79"/>
      <c r="AC13" s="79"/>
      <c r="AD13" s="79"/>
      <c r="AE13" s="77"/>
      <c r="AF13" s="77"/>
      <c r="AG13" s="77"/>
      <c r="AH13" s="77"/>
      <c r="AI13" s="77"/>
      <c r="AJ13" s="79"/>
      <c r="AK13" s="79"/>
      <c r="AL13" s="79"/>
      <c r="AM13" s="79"/>
      <c r="AN13" s="79"/>
      <c r="AO13" s="70"/>
      <c r="AP13" s="70"/>
      <c r="AQ13" s="70"/>
      <c r="AR13" s="70"/>
      <c r="AS13" s="70"/>
      <c r="AT13" s="79"/>
      <c r="AU13" s="79"/>
      <c r="AV13" s="79"/>
      <c r="AW13" s="79"/>
      <c r="AX13" s="79"/>
      <c r="AY13" s="68"/>
      <c r="AZ13" s="68"/>
      <c r="BA13" s="68"/>
      <c r="BB13" s="68"/>
      <c r="BC13" s="68"/>
      <c r="BD13" s="74"/>
      <c r="BE13" s="74"/>
      <c r="BF13" s="74"/>
      <c r="BG13" s="74"/>
      <c r="BH13" s="74"/>
      <c r="BI13" s="74"/>
      <c r="BJ13" s="83"/>
    </row>
    <row r="14" spans="1:62" outlineLevel="1">
      <c r="A14" s="109"/>
      <c r="B14" s="109"/>
      <c r="C14" s="79">
        <v>11</v>
      </c>
      <c r="D14" s="79"/>
      <c r="E14" s="77"/>
      <c r="F14" s="77"/>
      <c r="G14" s="77"/>
      <c r="H14" s="77"/>
      <c r="I14" s="77"/>
      <c r="J14" s="79"/>
      <c r="K14" s="79"/>
      <c r="L14" s="79"/>
      <c r="M14" s="79"/>
      <c r="N14" s="79"/>
      <c r="O14" s="79" t="s">
        <v>110</v>
      </c>
      <c r="P14" s="79" t="s">
        <v>110</v>
      </c>
      <c r="Q14" s="79" t="s">
        <v>110</v>
      </c>
      <c r="R14" s="77"/>
      <c r="S14" s="77"/>
      <c r="T14" s="77"/>
      <c r="U14" s="77"/>
      <c r="V14" s="77"/>
      <c r="W14" s="79"/>
      <c r="X14" s="79"/>
      <c r="Y14" s="79"/>
      <c r="Z14" s="79"/>
      <c r="AA14" s="79"/>
      <c r="AB14" s="79"/>
      <c r="AC14" s="79"/>
      <c r="AD14" s="79"/>
      <c r="AE14" s="77"/>
      <c r="AF14" s="77"/>
      <c r="AG14" s="77"/>
      <c r="AH14" s="77"/>
      <c r="AI14" s="77"/>
      <c r="AJ14" s="79"/>
      <c r="AK14" s="79"/>
      <c r="AL14" s="79"/>
      <c r="AM14" s="79"/>
      <c r="AN14" s="79"/>
      <c r="AO14" s="70"/>
      <c r="AP14" s="70"/>
      <c r="AQ14" s="70"/>
      <c r="AR14" s="70"/>
      <c r="AS14" s="70"/>
      <c r="AT14" s="79"/>
      <c r="AU14" s="79"/>
      <c r="AV14" s="79"/>
      <c r="AW14" s="79"/>
      <c r="AX14" s="79"/>
      <c r="AY14" s="68"/>
      <c r="AZ14" s="68"/>
      <c r="BA14" s="68"/>
      <c r="BB14" s="68"/>
      <c r="BC14" s="68"/>
      <c r="BD14" s="74"/>
      <c r="BE14" s="74"/>
      <c r="BF14" s="74"/>
      <c r="BG14" s="74"/>
      <c r="BH14" s="74"/>
      <c r="BI14" s="74"/>
      <c r="BJ14" s="83"/>
    </row>
    <row r="15" spans="1:62" outlineLevel="1">
      <c r="A15" s="109"/>
      <c r="B15" s="109"/>
      <c r="C15" s="79">
        <v>12</v>
      </c>
      <c r="D15" s="79"/>
      <c r="E15" s="77"/>
      <c r="F15" s="77"/>
      <c r="G15" s="77"/>
      <c r="H15" s="77"/>
      <c r="I15" s="77"/>
      <c r="J15" s="79"/>
      <c r="K15" s="79"/>
      <c r="L15" s="79"/>
      <c r="M15" s="79"/>
      <c r="N15" s="79"/>
      <c r="O15" s="79" t="s">
        <v>110</v>
      </c>
      <c r="P15" s="79" t="s">
        <v>110</v>
      </c>
      <c r="Q15" s="79" t="s">
        <v>110</v>
      </c>
      <c r="R15" s="77"/>
      <c r="S15" s="77"/>
      <c r="T15" s="77"/>
      <c r="U15" s="77"/>
      <c r="V15" s="77"/>
      <c r="W15" s="79"/>
      <c r="X15" s="79"/>
      <c r="Y15" s="79"/>
      <c r="Z15" s="79"/>
      <c r="AA15" s="79"/>
      <c r="AB15" s="79"/>
      <c r="AC15" s="79"/>
      <c r="AD15" s="79"/>
      <c r="AE15" s="77"/>
      <c r="AF15" s="77"/>
      <c r="AG15" s="77"/>
      <c r="AH15" s="77"/>
      <c r="AI15" s="77"/>
      <c r="AJ15" s="79"/>
      <c r="AK15" s="79"/>
      <c r="AL15" s="79"/>
      <c r="AM15" s="79"/>
      <c r="AN15" s="79"/>
      <c r="AO15" s="70"/>
      <c r="AP15" s="70"/>
      <c r="AQ15" s="70"/>
      <c r="AR15" s="70"/>
      <c r="AS15" s="70"/>
      <c r="AT15" s="79"/>
      <c r="AU15" s="79"/>
      <c r="AV15" s="79"/>
      <c r="AW15" s="79"/>
      <c r="AX15" s="79"/>
      <c r="AY15" s="68"/>
      <c r="AZ15" s="68"/>
      <c r="BA15" s="68"/>
      <c r="BB15" s="68"/>
      <c r="BC15" s="68"/>
      <c r="BD15" s="74"/>
      <c r="BE15" s="74"/>
      <c r="BF15" s="74"/>
      <c r="BG15" s="74"/>
      <c r="BH15" s="74"/>
      <c r="BI15" s="74"/>
      <c r="BJ15" s="83"/>
    </row>
    <row r="16" spans="1:62" outlineLevel="1">
      <c r="A16" s="109"/>
      <c r="B16" s="109"/>
      <c r="C16" s="79">
        <v>13</v>
      </c>
      <c r="D16" s="79"/>
      <c r="E16" s="77"/>
      <c r="F16" s="77"/>
      <c r="G16" s="77"/>
      <c r="H16" s="77"/>
      <c r="I16" s="77"/>
      <c r="J16" s="79"/>
      <c r="K16" s="79"/>
      <c r="L16" s="79"/>
      <c r="M16" s="79"/>
      <c r="N16" s="79"/>
      <c r="O16" s="79" t="s">
        <v>110</v>
      </c>
      <c r="P16" s="79" t="s">
        <v>110</v>
      </c>
      <c r="Q16" s="79" t="s">
        <v>110</v>
      </c>
      <c r="R16" s="77"/>
      <c r="S16" s="77"/>
      <c r="T16" s="77"/>
      <c r="U16" s="77"/>
      <c r="V16" s="77"/>
      <c r="W16" s="79"/>
      <c r="X16" s="79"/>
      <c r="Y16" s="79"/>
      <c r="Z16" s="79"/>
      <c r="AA16" s="79"/>
      <c r="AB16" s="79"/>
      <c r="AC16" s="79"/>
      <c r="AD16" s="79"/>
      <c r="AE16" s="77"/>
      <c r="AF16" s="77"/>
      <c r="AG16" s="77"/>
      <c r="AH16" s="77"/>
      <c r="AI16" s="77"/>
      <c r="AJ16" s="79"/>
      <c r="AK16" s="79"/>
      <c r="AL16" s="79"/>
      <c r="AM16" s="79"/>
      <c r="AN16" s="79"/>
      <c r="AO16" s="70"/>
      <c r="AP16" s="70"/>
      <c r="AQ16" s="70"/>
      <c r="AR16" s="70"/>
      <c r="AS16" s="70"/>
      <c r="AT16" s="79"/>
      <c r="AU16" s="79"/>
      <c r="AV16" s="79"/>
      <c r="AW16" s="79"/>
      <c r="AX16" s="79"/>
      <c r="AY16" s="68"/>
      <c r="AZ16" s="68"/>
      <c r="BA16" s="68"/>
      <c r="BB16" s="68"/>
      <c r="BC16" s="68"/>
      <c r="BD16" s="74"/>
      <c r="BE16" s="74"/>
      <c r="BF16" s="74"/>
      <c r="BG16" s="74"/>
      <c r="BH16" s="74"/>
      <c r="BI16" s="74"/>
      <c r="BJ16" s="83"/>
    </row>
    <row r="17" spans="1:62" outlineLevel="1">
      <c r="A17" s="109"/>
      <c r="B17" s="109"/>
      <c r="C17" s="79">
        <v>14</v>
      </c>
      <c r="D17" s="79"/>
      <c r="E17" s="77"/>
      <c r="F17" s="77"/>
      <c r="G17" s="77"/>
      <c r="H17" s="77"/>
      <c r="I17" s="77"/>
      <c r="J17" s="79"/>
      <c r="K17" s="79"/>
      <c r="L17" s="79"/>
      <c r="M17" s="79"/>
      <c r="N17" s="79"/>
      <c r="O17" s="79" t="s">
        <v>110</v>
      </c>
      <c r="P17" s="79" t="s">
        <v>110</v>
      </c>
      <c r="Q17" s="79" t="s">
        <v>110</v>
      </c>
      <c r="R17" s="77"/>
      <c r="S17" s="77"/>
      <c r="T17" s="77"/>
      <c r="U17" s="77"/>
      <c r="V17" s="77"/>
      <c r="W17" s="79"/>
      <c r="X17" s="79"/>
      <c r="Y17" s="79"/>
      <c r="Z17" s="79"/>
      <c r="AA17" s="79"/>
      <c r="AB17" s="79"/>
      <c r="AC17" s="79"/>
      <c r="AD17" s="79"/>
      <c r="AE17" s="77"/>
      <c r="AF17" s="77"/>
      <c r="AG17" s="77"/>
      <c r="AH17" s="77"/>
      <c r="AI17" s="77"/>
      <c r="AJ17" s="79"/>
      <c r="AK17" s="79"/>
      <c r="AL17" s="79"/>
      <c r="AM17" s="79"/>
      <c r="AN17" s="79"/>
      <c r="AO17" s="70"/>
      <c r="AP17" s="70"/>
      <c r="AQ17" s="70"/>
      <c r="AR17" s="70"/>
      <c r="AS17" s="70"/>
      <c r="AT17" s="79"/>
      <c r="AU17" s="79"/>
      <c r="AV17" s="79"/>
      <c r="AW17" s="79"/>
      <c r="AX17" s="79"/>
      <c r="AY17" s="68"/>
      <c r="AZ17" s="68"/>
      <c r="BA17" s="68"/>
      <c r="BB17" s="68"/>
      <c r="BC17" s="68"/>
      <c r="BD17" s="74"/>
      <c r="BE17" s="74"/>
      <c r="BF17" s="74"/>
      <c r="BG17" s="74"/>
      <c r="BH17" s="74"/>
      <c r="BI17" s="74"/>
      <c r="BJ17" s="83"/>
    </row>
    <row r="18" spans="1:62" outlineLevel="1">
      <c r="A18" s="109"/>
      <c r="B18" s="109"/>
      <c r="C18" s="79">
        <v>15</v>
      </c>
      <c r="D18" s="79"/>
      <c r="E18" s="77"/>
      <c r="F18" s="77"/>
      <c r="G18" s="77"/>
      <c r="H18" s="77"/>
      <c r="I18" s="77"/>
      <c r="J18" s="79"/>
      <c r="K18" s="79"/>
      <c r="L18" s="79"/>
      <c r="M18" s="79"/>
      <c r="N18" s="79"/>
      <c r="O18" s="79" t="s">
        <v>110</v>
      </c>
      <c r="P18" s="79" t="s">
        <v>110</v>
      </c>
      <c r="Q18" s="79" t="s">
        <v>110</v>
      </c>
      <c r="R18" s="77"/>
      <c r="S18" s="77"/>
      <c r="T18" s="77"/>
      <c r="U18" s="77"/>
      <c r="V18" s="77"/>
      <c r="W18" s="79"/>
      <c r="X18" s="79"/>
      <c r="Y18" s="79"/>
      <c r="Z18" s="79"/>
      <c r="AA18" s="79"/>
      <c r="AB18" s="79"/>
      <c r="AC18" s="79"/>
      <c r="AD18" s="79"/>
      <c r="AE18" s="77"/>
      <c r="AF18" s="77"/>
      <c r="AG18" s="77"/>
      <c r="AH18" s="77"/>
      <c r="AI18" s="77"/>
      <c r="AJ18" s="79"/>
      <c r="AK18" s="79"/>
      <c r="AL18" s="79"/>
      <c r="AM18" s="79"/>
      <c r="AN18" s="79"/>
      <c r="AO18" s="70"/>
      <c r="AP18" s="70"/>
      <c r="AQ18" s="70"/>
      <c r="AR18" s="70"/>
      <c r="AS18" s="70"/>
      <c r="AT18" s="79"/>
      <c r="AU18" s="79"/>
      <c r="AV18" s="79"/>
      <c r="AW18" s="79"/>
      <c r="AX18" s="79"/>
      <c r="AY18" s="68"/>
      <c r="AZ18" s="68"/>
      <c r="BA18" s="68"/>
      <c r="BB18" s="68"/>
      <c r="BC18" s="68"/>
      <c r="BD18" s="74"/>
      <c r="BE18" s="74"/>
      <c r="BF18" s="74"/>
      <c r="BG18" s="74"/>
      <c r="BH18" s="74"/>
      <c r="BI18" s="74"/>
      <c r="BJ18" s="83"/>
    </row>
    <row r="19" spans="1:62" outlineLevel="1">
      <c r="A19" s="109"/>
      <c r="B19" s="109"/>
      <c r="C19" s="79">
        <v>16</v>
      </c>
      <c r="D19" s="79"/>
      <c r="E19" s="77"/>
      <c r="F19" s="77"/>
      <c r="G19" s="77"/>
      <c r="H19" s="77"/>
      <c r="I19" s="77"/>
      <c r="J19" s="79"/>
      <c r="K19" s="79"/>
      <c r="L19" s="79"/>
      <c r="M19" s="79"/>
      <c r="N19" s="79"/>
      <c r="O19" s="79" t="s">
        <v>110</v>
      </c>
      <c r="P19" s="79" t="s">
        <v>110</v>
      </c>
      <c r="Q19" s="79" t="s">
        <v>110</v>
      </c>
      <c r="R19" s="77"/>
      <c r="S19" s="77"/>
      <c r="T19" s="77"/>
      <c r="U19" s="77"/>
      <c r="V19" s="77"/>
      <c r="W19" s="79"/>
      <c r="X19" s="79"/>
      <c r="Y19" s="79"/>
      <c r="Z19" s="79"/>
      <c r="AA19" s="79"/>
      <c r="AB19" s="79"/>
      <c r="AC19" s="79"/>
      <c r="AD19" s="79"/>
      <c r="AE19" s="77"/>
      <c r="AF19" s="77"/>
      <c r="AG19" s="77"/>
      <c r="AH19" s="77"/>
      <c r="AI19" s="77"/>
      <c r="AJ19" s="79"/>
      <c r="AK19" s="79"/>
      <c r="AL19" s="79"/>
      <c r="AM19" s="79"/>
      <c r="AN19" s="79"/>
      <c r="AO19" s="70"/>
      <c r="AP19" s="70"/>
      <c r="AQ19" s="70"/>
      <c r="AR19" s="70"/>
      <c r="AS19" s="70"/>
      <c r="AT19" s="79"/>
      <c r="AU19" s="79"/>
      <c r="AV19" s="79"/>
      <c r="AW19" s="79"/>
      <c r="AX19" s="79"/>
      <c r="AY19" s="68"/>
      <c r="AZ19" s="68"/>
      <c r="BA19" s="68"/>
      <c r="BB19" s="68"/>
      <c r="BC19" s="68"/>
      <c r="BD19" s="74"/>
      <c r="BE19" s="74"/>
      <c r="BF19" s="74"/>
      <c r="BG19" s="74"/>
      <c r="BH19" s="74"/>
      <c r="BI19" s="74"/>
      <c r="BJ19" s="83"/>
    </row>
    <row r="20" spans="1:62" outlineLevel="1">
      <c r="A20" s="109"/>
      <c r="B20" s="109"/>
      <c r="C20" s="79">
        <v>17</v>
      </c>
      <c r="D20" s="79"/>
      <c r="E20" s="77"/>
      <c r="F20" s="77"/>
      <c r="G20" s="77"/>
      <c r="H20" s="77"/>
      <c r="I20" s="77"/>
      <c r="J20" s="79"/>
      <c r="K20" s="79"/>
      <c r="L20" s="79"/>
      <c r="M20" s="79"/>
      <c r="N20" s="79"/>
      <c r="O20" s="79" t="s">
        <v>110</v>
      </c>
      <c r="P20" s="79" t="s">
        <v>110</v>
      </c>
      <c r="Q20" s="79" t="s">
        <v>110</v>
      </c>
      <c r="R20" s="77"/>
      <c r="S20" s="77"/>
      <c r="T20" s="77"/>
      <c r="U20" s="77"/>
      <c r="V20" s="77"/>
      <c r="W20" s="79"/>
      <c r="X20" s="79"/>
      <c r="Y20" s="79"/>
      <c r="Z20" s="79"/>
      <c r="AA20" s="79"/>
      <c r="AB20" s="79"/>
      <c r="AC20" s="79"/>
      <c r="AD20" s="79"/>
      <c r="AE20" s="77"/>
      <c r="AF20" s="77"/>
      <c r="AG20" s="77"/>
      <c r="AH20" s="77"/>
      <c r="AI20" s="77"/>
      <c r="AJ20" s="79"/>
      <c r="AK20" s="79"/>
      <c r="AL20" s="79"/>
      <c r="AM20" s="79"/>
      <c r="AN20" s="79"/>
      <c r="AO20" s="70"/>
      <c r="AP20" s="70"/>
      <c r="AQ20" s="70"/>
      <c r="AR20" s="70"/>
      <c r="AS20" s="70"/>
      <c r="AT20" s="79"/>
      <c r="AU20" s="79"/>
      <c r="AV20" s="79"/>
      <c r="AW20" s="79"/>
      <c r="AX20" s="79"/>
      <c r="AY20" s="68"/>
      <c r="AZ20" s="68"/>
      <c r="BA20" s="68"/>
      <c r="BB20" s="68"/>
      <c r="BC20" s="68"/>
      <c r="BD20" s="74"/>
      <c r="BE20" s="74"/>
      <c r="BF20" s="74"/>
      <c r="BG20" s="74"/>
      <c r="BH20" s="74"/>
      <c r="BI20" s="74"/>
      <c r="BJ20" s="83"/>
    </row>
    <row r="21" spans="1:62" outlineLevel="1">
      <c r="A21" s="109"/>
      <c r="B21" s="109"/>
      <c r="C21" s="79">
        <v>18</v>
      </c>
      <c r="D21" s="79"/>
      <c r="E21" s="77"/>
      <c r="F21" s="77"/>
      <c r="G21" s="77"/>
      <c r="H21" s="77"/>
      <c r="I21" s="77"/>
      <c r="J21" s="79"/>
      <c r="K21" s="79"/>
      <c r="L21" s="79"/>
      <c r="M21" s="79"/>
      <c r="N21" s="79"/>
      <c r="O21" s="79" t="s">
        <v>110</v>
      </c>
      <c r="P21" s="79" t="s">
        <v>110</v>
      </c>
      <c r="Q21" s="79" t="s">
        <v>110</v>
      </c>
      <c r="R21" s="77"/>
      <c r="S21" s="77"/>
      <c r="T21" s="77"/>
      <c r="U21" s="77"/>
      <c r="V21" s="77"/>
      <c r="W21" s="79"/>
      <c r="X21" s="79"/>
      <c r="Y21" s="79"/>
      <c r="Z21" s="79"/>
      <c r="AA21" s="79"/>
      <c r="AB21" s="79"/>
      <c r="AC21" s="79"/>
      <c r="AD21" s="79"/>
      <c r="AE21" s="77"/>
      <c r="AF21" s="77"/>
      <c r="AG21" s="77"/>
      <c r="AH21" s="77"/>
      <c r="AI21" s="77"/>
      <c r="AJ21" s="79"/>
      <c r="AK21" s="79"/>
      <c r="AL21" s="79"/>
      <c r="AM21" s="79"/>
      <c r="AN21" s="79"/>
      <c r="AO21" s="70"/>
      <c r="AP21" s="70"/>
      <c r="AQ21" s="70"/>
      <c r="AR21" s="70"/>
      <c r="AS21" s="70"/>
      <c r="AT21" s="79"/>
      <c r="AU21" s="79"/>
      <c r="AV21" s="79"/>
      <c r="AW21" s="79"/>
      <c r="AX21" s="79"/>
      <c r="AY21" s="68"/>
      <c r="AZ21" s="68"/>
      <c r="BA21" s="68"/>
      <c r="BB21" s="68"/>
      <c r="BC21" s="68"/>
      <c r="BD21" s="74"/>
      <c r="BE21" s="74"/>
      <c r="BF21" s="74"/>
      <c r="BG21" s="74"/>
      <c r="BH21" s="74"/>
      <c r="BI21" s="74"/>
      <c r="BJ21" s="83"/>
    </row>
    <row r="22" spans="1:62">
      <c r="A22" s="109" t="s">
        <v>115</v>
      </c>
      <c r="B22" s="109">
        <v>1</v>
      </c>
      <c r="C22" s="79">
        <v>4</v>
      </c>
      <c r="D22" s="79"/>
      <c r="E22" s="77"/>
      <c r="F22" s="77"/>
      <c r="G22" s="77"/>
      <c r="H22" s="77"/>
      <c r="I22" s="77"/>
      <c r="J22" s="79"/>
      <c r="K22" s="79"/>
      <c r="L22" s="79"/>
      <c r="M22" s="79"/>
      <c r="N22" s="79"/>
      <c r="O22" s="79" t="s">
        <v>110</v>
      </c>
      <c r="P22" s="79" t="s">
        <v>110</v>
      </c>
      <c r="Q22" s="79" t="s">
        <v>110</v>
      </c>
      <c r="R22" s="77"/>
      <c r="S22" s="77"/>
      <c r="T22" s="77"/>
      <c r="U22" s="77"/>
      <c r="V22" s="77"/>
      <c r="W22" s="79"/>
      <c r="X22" s="79"/>
      <c r="Y22" s="79"/>
      <c r="Z22" s="79"/>
      <c r="AA22" s="79"/>
      <c r="AB22" s="79"/>
      <c r="AC22" s="79"/>
      <c r="AD22" s="79"/>
      <c r="AE22" s="77"/>
      <c r="AF22" s="77"/>
      <c r="AG22" s="77"/>
      <c r="AH22" s="77"/>
      <c r="AI22" s="77"/>
      <c r="AJ22" s="79"/>
      <c r="AK22" s="79"/>
      <c r="AL22" s="79"/>
      <c r="AM22" s="79"/>
      <c r="AN22" s="79"/>
      <c r="AO22" s="70"/>
      <c r="AP22" s="70"/>
      <c r="AQ22" s="70"/>
      <c r="AR22" s="70"/>
      <c r="AS22" s="70"/>
      <c r="AT22" s="79"/>
      <c r="AU22" s="79"/>
      <c r="AV22" s="79"/>
      <c r="AW22" s="79"/>
      <c r="AX22" s="79"/>
      <c r="AY22" s="68"/>
      <c r="AZ22" s="68"/>
      <c r="BA22" s="68"/>
      <c r="BB22" s="68"/>
      <c r="BC22" s="68"/>
      <c r="BD22" s="74"/>
      <c r="BE22" s="74"/>
      <c r="BF22" s="74"/>
      <c r="BG22" s="74"/>
      <c r="BH22" s="74"/>
      <c r="BI22" s="74"/>
      <c r="BJ22" s="83"/>
    </row>
    <row r="23" spans="1:62" outlineLevel="1">
      <c r="A23" s="109"/>
      <c r="B23" s="109"/>
      <c r="C23" s="79">
        <v>5</v>
      </c>
      <c r="D23" s="79"/>
      <c r="E23" s="77"/>
      <c r="F23" s="77"/>
      <c r="G23" s="77"/>
      <c r="H23" s="77"/>
      <c r="I23" s="77"/>
      <c r="J23" s="79"/>
      <c r="K23" s="79"/>
      <c r="L23" s="79"/>
      <c r="M23" s="79"/>
      <c r="N23" s="79"/>
      <c r="O23" s="79" t="s">
        <v>110</v>
      </c>
      <c r="P23" s="79" t="s">
        <v>110</v>
      </c>
      <c r="Q23" s="79" t="s">
        <v>110</v>
      </c>
      <c r="R23" s="77"/>
      <c r="S23" s="77"/>
      <c r="T23" s="77"/>
      <c r="U23" s="77"/>
      <c r="V23" s="77"/>
      <c r="W23" s="79"/>
      <c r="X23" s="79"/>
      <c r="Y23" s="79"/>
      <c r="Z23" s="79"/>
      <c r="AA23" s="79"/>
      <c r="AB23" s="79"/>
      <c r="AC23" s="79"/>
      <c r="AD23" s="79"/>
      <c r="AE23" s="77"/>
      <c r="AF23" s="77"/>
      <c r="AG23" s="77"/>
      <c r="AH23" s="77"/>
      <c r="AI23" s="77"/>
      <c r="AJ23" s="79"/>
      <c r="AK23" s="79"/>
      <c r="AL23" s="79"/>
      <c r="AM23" s="79"/>
      <c r="AN23" s="79"/>
      <c r="AO23" s="70"/>
      <c r="AP23" s="70"/>
      <c r="AQ23" s="70"/>
      <c r="AR23" s="70"/>
      <c r="AS23" s="70"/>
      <c r="AT23" s="79"/>
      <c r="AU23" s="79"/>
      <c r="AV23" s="79"/>
      <c r="AW23" s="79"/>
      <c r="AX23" s="79"/>
      <c r="AY23" s="68"/>
      <c r="AZ23" s="68"/>
      <c r="BA23" s="68"/>
      <c r="BB23" s="68"/>
      <c r="BC23" s="68"/>
      <c r="BD23" s="74"/>
      <c r="BE23" s="74"/>
      <c r="BF23" s="74"/>
      <c r="BG23" s="74"/>
      <c r="BH23" s="74"/>
      <c r="BI23" s="74"/>
      <c r="BJ23" s="83"/>
    </row>
    <row r="24" spans="1:62" ht="33" outlineLevel="1">
      <c r="A24" s="109"/>
      <c r="B24" s="109"/>
      <c r="C24" s="79">
        <v>6</v>
      </c>
      <c r="D24" s="79" t="s">
        <v>116</v>
      </c>
      <c r="E24" s="78">
        <v>45972</v>
      </c>
      <c r="F24" s="77" t="s">
        <v>117</v>
      </c>
      <c r="G24" s="77">
        <v>14332994</v>
      </c>
      <c r="H24" s="77" t="s">
        <v>118</v>
      </c>
      <c r="I24" s="77">
        <v>14563009</v>
      </c>
      <c r="J24" s="80">
        <v>44916</v>
      </c>
      <c r="K24" s="79"/>
      <c r="L24" s="79"/>
      <c r="M24" s="79"/>
      <c r="N24" s="79"/>
      <c r="O24" s="79" t="s">
        <v>110</v>
      </c>
      <c r="P24" s="79" t="s">
        <v>110</v>
      </c>
      <c r="Q24" s="79" t="s">
        <v>110</v>
      </c>
      <c r="R24" s="78">
        <v>44944</v>
      </c>
      <c r="S24" s="77" t="s">
        <v>119</v>
      </c>
      <c r="T24" s="77">
        <v>15074666</v>
      </c>
      <c r="U24" s="77" t="s">
        <v>120</v>
      </c>
      <c r="V24" s="77">
        <v>15190884</v>
      </c>
      <c r="W24" s="80">
        <v>44933</v>
      </c>
      <c r="X24" s="79" t="s">
        <v>121</v>
      </c>
      <c r="Y24" s="79">
        <v>15382754</v>
      </c>
      <c r="Z24" s="79" t="s">
        <v>122</v>
      </c>
      <c r="AA24" s="79">
        <v>18390524</v>
      </c>
      <c r="AB24" s="80">
        <v>44916</v>
      </c>
      <c r="AC24" s="79" t="s">
        <v>123</v>
      </c>
      <c r="AD24" s="79">
        <v>14775871</v>
      </c>
      <c r="AE24" s="78">
        <v>45520</v>
      </c>
      <c r="AF24" s="77"/>
      <c r="AG24" s="77"/>
      <c r="AH24" s="77"/>
      <c r="AI24" s="77"/>
      <c r="AJ24" s="80">
        <v>45166</v>
      </c>
      <c r="AK24" s="79"/>
      <c r="AL24" s="79"/>
      <c r="AM24" s="79"/>
      <c r="AN24" s="79"/>
      <c r="AO24" s="69">
        <v>45287</v>
      </c>
      <c r="AP24" s="70"/>
      <c r="AQ24" s="70"/>
      <c r="AR24" s="70"/>
      <c r="AS24" s="70"/>
      <c r="AT24" s="79"/>
      <c r="AU24" s="79"/>
      <c r="AV24" s="79"/>
      <c r="AW24" s="79"/>
      <c r="AX24" s="79"/>
      <c r="AY24" s="68"/>
      <c r="AZ24" s="68"/>
      <c r="BA24" s="68"/>
      <c r="BB24" s="68"/>
      <c r="BC24" s="68"/>
      <c r="BD24" s="74"/>
      <c r="BE24" s="74"/>
      <c r="BF24" s="74"/>
      <c r="BG24" s="74"/>
      <c r="BH24" s="74"/>
      <c r="BI24" s="74"/>
      <c r="BJ24" s="83"/>
    </row>
    <row r="25" spans="1:62" ht="33" outlineLevel="1">
      <c r="A25" s="109"/>
      <c r="B25" s="109"/>
      <c r="C25" s="79">
        <v>7</v>
      </c>
      <c r="D25" s="79" t="s">
        <v>124</v>
      </c>
      <c r="E25" s="78">
        <v>44873</v>
      </c>
      <c r="F25" s="77" t="s">
        <v>125</v>
      </c>
      <c r="G25" s="77">
        <v>14278763</v>
      </c>
      <c r="H25" s="77" t="s">
        <v>126</v>
      </c>
      <c r="I25" s="77">
        <v>14711204</v>
      </c>
      <c r="J25" s="80">
        <v>44916</v>
      </c>
      <c r="K25" s="79"/>
      <c r="L25" s="79"/>
      <c r="M25" s="79"/>
      <c r="N25" s="79"/>
      <c r="O25" s="79" t="s">
        <v>110</v>
      </c>
      <c r="P25" s="79" t="s">
        <v>110</v>
      </c>
      <c r="Q25" s="79" t="s">
        <v>110</v>
      </c>
      <c r="R25" s="78">
        <v>44944</v>
      </c>
      <c r="S25" s="77" t="s">
        <v>127</v>
      </c>
      <c r="T25" s="77">
        <v>15074810</v>
      </c>
      <c r="U25" s="77" t="s">
        <v>128</v>
      </c>
      <c r="V25" s="77">
        <v>15278878</v>
      </c>
      <c r="W25" s="80"/>
      <c r="X25" s="79"/>
      <c r="Y25" s="79"/>
      <c r="Z25" s="79"/>
      <c r="AA25" s="79"/>
      <c r="AB25" s="80"/>
      <c r="AC25" s="79"/>
      <c r="AD25" s="79"/>
      <c r="AE25" s="78"/>
      <c r="AF25" s="77"/>
      <c r="AG25" s="77"/>
      <c r="AH25" s="77"/>
      <c r="AI25" s="77"/>
      <c r="AJ25" s="80"/>
      <c r="AK25" s="79"/>
      <c r="AL25" s="79"/>
      <c r="AM25" s="79"/>
      <c r="AN25" s="79"/>
      <c r="AO25" s="69"/>
      <c r="AP25" s="70"/>
      <c r="AQ25" s="70"/>
      <c r="AR25" s="70"/>
      <c r="AS25" s="70"/>
      <c r="AT25" s="79"/>
      <c r="AU25" s="79"/>
      <c r="AV25" s="79"/>
      <c r="AW25" s="79"/>
      <c r="AX25" s="79"/>
      <c r="AY25" s="68"/>
      <c r="AZ25" s="68"/>
      <c r="BA25" s="68"/>
      <c r="BB25" s="68"/>
      <c r="BC25" s="68"/>
      <c r="BD25" s="74"/>
      <c r="BE25" s="74"/>
      <c r="BF25" s="74"/>
      <c r="BG25" s="74"/>
      <c r="BH25" s="74"/>
      <c r="BI25" s="74"/>
      <c r="BJ25" s="83"/>
    </row>
    <row r="26" spans="1:62" outlineLevel="1">
      <c r="A26" s="109"/>
      <c r="B26" s="109"/>
      <c r="C26" s="79">
        <v>8</v>
      </c>
      <c r="D26" s="79" t="s">
        <v>129</v>
      </c>
      <c r="E26" s="77"/>
      <c r="F26" s="77"/>
      <c r="G26" s="77"/>
      <c r="H26" s="77"/>
      <c r="I26" s="77"/>
      <c r="J26" s="79"/>
      <c r="K26" s="79"/>
      <c r="L26" s="79"/>
      <c r="M26" s="79"/>
      <c r="N26" s="79"/>
      <c r="O26" s="79" t="s">
        <v>110</v>
      </c>
      <c r="P26" s="79" t="s">
        <v>110</v>
      </c>
      <c r="Q26" s="79" t="s">
        <v>110</v>
      </c>
      <c r="R26" s="77"/>
      <c r="S26" s="77"/>
      <c r="T26" s="77"/>
      <c r="U26" s="77"/>
      <c r="V26" s="77"/>
      <c r="W26" s="79"/>
      <c r="X26" s="79"/>
      <c r="Y26" s="79"/>
      <c r="Z26" s="79"/>
      <c r="AA26" s="79"/>
      <c r="AB26" s="79"/>
      <c r="AC26" s="79"/>
      <c r="AD26" s="79"/>
      <c r="AE26" s="77"/>
      <c r="AF26" s="77"/>
      <c r="AG26" s="77"/>
      <c r="AH26" s="77"/>
      <c r="AI26" s="77"/>
      <c r="AJ26" s="79"/>
      <c r="AK26" s="79"/>
      <c r="AL26" s="79"/>
      <c r="AM26" s="79"/>
      <c r="AN26" s="79"/>
      <c r="AO26" s="70"/>
      <c r="AP26" s="70"/>
      <c r="AQ26" s="70"/>
      <c r="AR26" s="70"/>
      <c r="AS26" s="70"/>
      <c r="AT26" s="79"/>
      <c r="AU26" s="79"/>
      <c r="AV26" s="79"/>
      <c r="AW26" s="79"/>
      <c r="AX26" s="79"/>
      <c r="AY26" s="68"/>
      <c r="AZ26" s="68"/>
      <c r="BA26" s="68"/>
      <c r="BB26" s="68"/>
      <c r="BC26" s="68"/>
      <c r="BD26" s="74"/>
      <c r="BE26" s="74"/>
      <c r="BF26" s="74"/>
      <c r="BG26" s="74"/>
      <c r="BH26" s="74"/>
      <c r="BI26" s="74"/>
      <c r="BJ26" s="83"/>
    </row>
    <row r="27" spans="1:62" outlineLevel="1">
      <c r="A27" s="109"/>
      <c r="B27" s="109"/>
      <c r="C27" s="79">
        <v>9</v>
      </c>
      <c r="D27" s="79" t="s">
        <v>130</v>
      </c>
      <c r="E27" s="77"/>
      <c r="F27" s="77"/>
      <c r="G27" s="77"/>
      <c r="H27" s="77"/>
      <c r="I27" s="77"/>
      <c r="J27" s="79"/>
      <c r="K27" s="79"/>
      <c r="L27" s="79"/>
      <c r="M27" s="79"/>
      <c r="N27" s="79"/>
      <c r="O27" s="79" t="s">
        <v>110</v>
      </c>
      <c r="P27" s="79" t="s">
        <v>110</v>
      </c>
      <c r="Q27" s="79" t="s">
        <v>110</v>
      </c>
      <c r="R27" s="77"/>
      <c r="S27" s="77"/>
      <c r="T27" s="77"/>
      <c r="U27" s="77"/>
      <c r="V27" s="77"/>
      <c r="W27" s="79"/>
      <c r="X27" s="79"/>
      <c r="Y27" s="79"/>
      <c r="Z27" s="79"/>
      <c r="AA27" s="79"/>
      <c r="AB27" s="79"/>
      <c r="AC27" s="79"/>
      <c r="AD27" s="79"/>
      <c r="AE27" s="77"/>
      <c r="AF27" s="77"/>
      <c r="AG27" s="77"/>
      <c r="AH27" s="77"/>
      <c r="AI27" s="77"/>
      <c r="AJ27" s="79"/>
      <c r="AK27" s="79"/>
      <c r="AL27" s="79"/>
      <c r="AM27" s="79"/>
      <c r="AN27" s="79"/>
      <c r="AO27" s="70"/>
      <c r="AP27" s="70"/>
      <c r="AQ27" s="70"/>
      <c r="AR27" s="70"/>
      <c r="AS27" s="70"/>
      <c r="AT27" s="79"/>
      <c r="AU27" s="79"/>
      <c r="AV27" s="79"/>
      <c r="AW27" s="79"/>
      <c r="AX27" s="79"/>
      <c r="AY27" s="68"/>
      <c r="AZ27" s="68"/>
      <c r="BA27" s="68"/>
      <c r="BB27" s="68"/>
      <c r="BC27" s="68"/>
      <c r="BD27" s="74"/>
      <c r="BE27" s="74"/>
      <c r="BF27" s="74"/>
      <c r="BG27" s="74"/>
      <c r="BH27" s="74"/>
      <c r="BI27" s="74"/>
      <c r="BJ27" s="83"/>
    </row>
    <row r="28" spans="1:62" outlineLevel="1">
      <c r="A28" s="109"/>
      <c r="B28" s="109"/>
      <c r="C28" s="79">
        <v>10</v>
      </c>
      <c r="D28" s="79" t="s">
        <v>131</v>
      </c>
      <c r="E28" s="77"/>
      <c r="F28" s="77"/>
      <c r="G28" s="77"/>
      <c r="H28" s="77"/>
      <c r="I28" s="77"/>
      <c r="J28" s="79"/>
      <c r="K28" s="79"/>
      <c r="L28" s="79"/>
      <c r="M28" s="79"/>
      <c r="N28" s="79"/>
      <c r="O28" s="79" t="s">
        <v>110</v>
      </c>
      <c r="P28" s="79" t="s">
        <v>110</v>
      </c>
      <c r="Q28" s="79" t="s">
        <v>110</v>
      </c>
      <c r="R28" s="77"/>
      <c r="S28" s="77"/>
      <c r="T28" s="77"/>
      <c r="U28" s="77"/>
      <c r="V28" s="77"/>
      <c r="W28" s="79"/>
      <c r="X28" s="79"/>
      <c r="Y28" s="79"/>
      <c r="Z28" s="79"/>
      <c r="AA28" s="79"/>
      <c r="AB28" s="79"/>
      <c r="AC28" s="79"/>
      <c r="AD28" s="79"/>
      <c r="AE28" s="77"/>
      <c r="AF28" s="77"/>
      <c r="AG28" s="77"/>
      <c r="AH28" s="77"/>
      <c r="AI28" s="77"/>
      <c r="AJ28" s="79"/>
      <c r="AK28" s="79"/>
      <c r="AL28" s="79"/>
      <c r="AM28" s="79"/>
      <c r="AN28" s="79"/>
      <c r="AO28" s="70"/>
      <c r="AP28" s="70"/>
      <c r="AQ28" s="70"/>
      <c r="AR28" s="70"/>
      <c r="AS28" s="70"/>
      <c r="AT28" s="79"/>
      <c r="AU28" s="79"/>
      <c r="AV28" s="79"/>
      <c r="AW28" s="79"/>
      <c r="AX28" s="79"/>
      <c r="AY28" s="68"/>
      <c r="AZ28" s="68"/>
      <c r="BA28" s="68"/>
      <c r="BB28" s="68"/>
      <c r="BC28" s="68"/>
      <c r="BD28" s="74"/>
      <c r="BE28" s="74"/>
      <c r="BF28" s="74"/>
      <c r="BG28" s="74"/>
      <c r="BH28" s="74"/>
      <c r="BI28" s="74"/>
      <c r="BJ28" s="83"/>
    </row>
    <row r="29" spans="1:62" outlineLevel="1">
      <c r="A29" s="109"/>
      <c r="B29" s="109"/>
      <c r="C29" s="79">
        <v>11</v>
      </c>
      <c r="D29" s="79" t="s">
        <v>132</v>
      </c>
      <c r="E29" s="77"/>
      <c r="F29" s="77"/>
      <c r="G29" s="77"/>
      <c r="H29" s="77"/>
      <c r="I29" s="77"/>
      <c r="J29" s="79"/>
      <c r="K29" s="79"/>
      <c r="L29" s="79"/>
      <c r="M29" s="79"/>
      <c r="N29" s="79"/>
      <c r="O29" s="79" t="s">
        <v>110</v>
      </c>
      <c r="P29" s="79" t="s">
        <v>110</v>
      </c>
      <c r="Q29" s="79" t="s">
        <v>110</v>
      </c>
      <c r="R29" s="77"/>
      <c r="S29" s="77"/>
      <c r="T29" s="77"/>
      <c r="U29" s="77"/>
      <c r="V29" s="77"/>
      <c r="W29" s="79"/>
      <c r="X29" s="79"/>
      <c r="Y29" s="79"/>
      <c r="Z29" s="79"/>
      <c r="AA29" s="79"/>
      <c r="AB29" s="79"/>
      <c r="AC29" s="79"/>
      <c r="AD29" s="79"/>
      <c r="AE29" s="77"/>
      <c r="AF29" s="77"/>
      <c r="AG29" s="77"/>
      <c r="AH29" s="77"/>
      <c r="AI29" s="77"/>
      <c r="AJ29" s="79"/>
      <c r="AK29" s="79"/>
      <c r="AL29" s="79"/>
      <c r="AM29" s="79"/>
      <c r="AN29" s="79"/>
      <c r="AO29" s="70"/>
      <c r="AP29" s="70"/>
      <c r="AQ29" s="70"/>
      <c r="AR29" s="70"/>
      <c r="AS29" s="70"/>
      <c r="AT29" s="79"/>
      <c r="AU29" s="79"/>
      <c r="AV29" s="79"/>
      <c r="AW29" s="79"/>
      <c r="AX29" s="79"/>
      <c r="AY29" s="68"/>
      <c r="AZ29" s="68"/>
      <c r="BA29" s="68"/>
      <c r="BB29" s="68"/>
      <c r="BC29" s="68"/>
      <c r="BD29" s="74"/>
      <c r="BE29" s="74"/>
      <c r="BF29" s="74"/>
      <c r="BG29" s="74"/>
      <c r="BH29" s="74"/>
      <c r="BI29" s="74"/>
      <c r="BJ29" s="83"/>
    </row>
    <row r="30" spans="1:62" outlineLevel="1">
      <c r="A30" s="109"/>
      <c r="B30" s="109"/>
      <c r="C30" s="79">
        <v>12</v>
      </c>
      <c r="D30" s="79" t="s">
        <v>133</v>
      </c>
      <c r="E30" s="77"/>
      <c r="F30" s="77"/>
      <c r="G30" s="77"/>
      <c r="H30" s="77"/>
      <c r="I30" s="77"/>
      <c r="J30" s="79"/>
      <c r="K30" s="79"/>
      <c r="L30" s="79"/>
      <c r="M30" s="79"/>
      <c r="N30" s="79"/>
      <c r="O30" s="79" t="s">
        <v>110</v>
      </c>
      <c r="P30" s="79" t="s">
        <v>110</v>
      </c>
      <c r="Q30" s="79" t="s">
        <v>110</v>
      </c>
      <c r="R30" s="77"/>
      <c r="S30" s="77"/>
      <c r="T30" s="77"/>
      <c r="U30" s="77"/>
      <c r="V30" s="77"/>
      <c r="W30" s="79"/>
      <c r="X30" s="79"/>
      <c r="Y30" s="79"/>
      <c r="Z30" s="79"/>
      <c r="AA30" s="79"/>
      <c r="AB30" s="79"/>
      <c r="AC30" s="79"/>
      <c r="AD30" s="79"/>
      <c r="AE30" s="77"/>
      <c r="AF30" s="77"/>
      <c r="AG30" s="77"/>
      <c r="AH30" s="77"/>
      <c r="AI30" s="77"/>
      <c r="AJ30" s="79"/>
      <c r="AK30" s="79"/>
      <c r="AL30" s="79"/>
      <c r="AM30" s="79"/>
      <c r="AN30" s="79"/>
      <c r="AO30" s="70"/>
      <c r="AP30" s="70"/>
      <c r="AQ30" s="70"/>
      <c r="AR30" s="70"/>
      <c r="AS30" s="70"/>
      <c r="AT30" s="79"/>
      <c r="AU30" s="79"/>
      <c r="AV30" s="79"/>
      <c r="AW30" s="79"/>
      <c r="AX30" s="79"/>
      <c r="AY30" s="68"/>
      <c r="AZ30" s="68"/>
      <c r="BA30" s="68"/>
      <c r="BB30" s="68"/>
      <c r="BC30" s="68"/>
      <c r="BD30" s="74"/>
      <c r="BE30" s="74"/>
      <c r="BF30" s="74"/>
      <c r="BG30" s="74"/>
      <c r="BH30" s="74"/>
      <c r="BI30" s="74"/>
      <c r="BJ30" s="83"/>
    </row>
    <row r="31" spans="1:62" outlineLevel="1">
      <c r="A31" s="109"/>
      <c r="B31" s="109"/>
      <c r="C31" s="79">
        <v>13</v>
      </c>
      <c r="D31" s="79" t="s">
        <v>134</v>
      </c>
      <c r="E31" s="77"/>
      <c r="F31" s="77"/>
      <c r="G31" s="77"/>
      <c r="H31" s="77"/>
      <c r="I31" s="77"/>
      <c r="J31" s="79"/>
      <c r="K31" s="79"/>
      <c r="L31" s="79"/>
      <c r="M31" s="79"/>
      <c r="N31" s="79"/>
      <c r="O31" s="79" t="s">
        <v>110</v>
      </c>
      <c r="P31" s="79" t="s">
        <v>110</v>
      </c>
      <c r="Q31" s="79" t="s">
        <v>110</v>
      </c>
      <c r="R31" s="77"/>
      <c r="S31" s="77"/>
      <c r="T31" s="77"/>
      <c r="U31" s="77"/>
      <c r="V31" s="77"/>
      <c r="W31" s="79"/>
      <c r="X31" s="79"/>
      <c r="Y31" s="79"/>
      <c r="Z31" s="79"/>
      <c r="AA31" s="79"/>
      <c r="AB31" s="79"/>
      <c r="AC31" s="79"/>
      <c r="AD31" s="79"/>
      <c r="AE31" s="77"/>
      <c r="AF31" s="77"/>
      <c r="AG31" s="77"/>
      <c r="AH31" s="77"/>
      <c r="AI31" s="77"/>
      <c r="AJ31" s="79"/>
      <c r="AK31" s="79"/>
      <c r="AL31" s="79"/>
      <c r="AM31" s="79"/>
      <c r="AN31" s="79"/>
      <c r="AO31" s="70"/>
      <c r="AP31" s="70"/>
      <c r="AQ31" s="70"/>
      <c r="AR31" s="70"/>
      <c r="AS31" s="70"/>
      <c r="AT31" s="79"/>
      <c r="AU31" s="79"/>
      <c r="AV31" s="79"/>
      <c r="AW31" s="79"/>
      <c r="AX31" s="79"/>
      <c r="AY31" s="68"/>
      <c r="AZ31" s="68"/>
      <c r="BA31" s="68"/>
      <c r="BB31" s="68"/>
      <c r="BC31" s="68"/>
      <c r="BD31" s="74"/>
      <c r="BE31" s="74"/>
      <c r="BF31" s="74"/>
      <c r="BG31" s="74"/>
      <c r="BH31" s="74"/>
      <c r="BI31" s="74"/>
      <c r="BJ31" s="83"/>
    </row>
    <row r="32" spans="1:62" outlineLevel="1">
      <c r="A32" s="109"/>
      <c r="B32" s="109"/>
      <c r="C32" s="79">
        <v>14</v>
      </c>
      <c r="D32" s="79" t="s">
        <v>135</v>
      </c>
      <c r="E32" s="77"/>
      <c r="F32" s="77"/>
      <c r="G32" s="77"/>
      <c r="H32" s="77"/>
      <c r="I32" s="77"/>
      <c r="J32" s="79"/>
      <c r="K32" s="79"/>
      <c r="L32" s="79"/>
      <c r="M32" s="79"/>
      <c r="N32" s="79"/>
      <c r="O32" s="79" t="s">
        <v>110</v>
      </c>
      <c r="P32" s="79" t="s">
        <v>110</v>
      </c>
      <c r="Q32" s="79" t="s">
        <v>110</v>
      </c>
      <c r="R32" s="77"/>
      <c r="S32" s="77"/>
      <c r="T32" s="77"/>
      <c r="U32" s="77"/>
      <c r="V32" s="77"/>
      <c r="W32" s="79"/>
      <c r="X32" s="79"/>
      <c r="Y32" s="79"/>
      <c r="Z32" s="79"/>
      <c r="AA32" s="79"/>
      <c r="AB32" s="79"/>
      <c r="AC32" s="79"/>
      <c r="AD32" s="79"/>
      <c r="AE32" s="77"/>
      <c r="AF32" s="77"/>
      <c r="AG32" s="77"/>
      <c r="AH32" s="77"/>
      <c r="AI32" s="77"/>
      <c r="AJ32" s="79"/>
      <c r="AK32" s="79"/>
      <c r="AL32" s="79"/>
      <c r="AM32" s="79"/>
      <c r="AN32" s="79"/>
      <c r="AO32" s="70"/>
      <c r="AP32" s="70"/>
      <c r="AQ32" s="70"/>
      <c r="AR32" s="70"/>
      <c r="AS32" s="70"/>
      <c r="AT32" s="79"/>
      <c r="AU32" s="79"/>
      <c r="AV32" s="79"/>
      <c r="AW32" s="79"/>
      <c r="AX32" s="79"/>
      <c r="AY32" s="68"/>
      <c r="AZ32" s="68"/>
      <c r="BA32" s="68"/>
      <c r="BB32" s="68"/>
      <c r="BC32" s="68"/>
      <c r="BD32" s="74"/>
      <c r="BE32" s="74"/>
      <c r="BF32" s="74"/>
      <c r="BG32" s="74"/>
      <c r="BH32" s="74"/>
      <c r="BI32" s="74"/>
      <c r="BJ32" s="83"/>
    </row>
    <row r="33" spans="1:62" ht="15.75" customHeight="1" outlineLevel="1">
      <c r="A33" s="109"/>
      <c r="B33" s="109"/>
      <c r="C33" s="79">
        <v>15</v>
      </c>
      <c r="D33" s="79" t="s">
        <v>136</v>
      </c>
      <c r="E33" s="78">
        <v>44877</v>
      </c>
      <c r="F33" s="77" t="s">
        <v>137</v>
      </c>
      <c r="G33" s="77">
        <v>14338476</v>
      </c>
      <c r="H33" s="77" t="s">
        <v>138</v>
      </c>
      <c r="I33" s="77">
        <v>14980337</v>
      </c>
      <c r="J33" s="80">
        <v>44877</v>
      </c>
      <c r="K33" s="79" t="s">
        <v>137</v>
      </c>
      <c r="L33" s="79">
        <v>14338476</v>
      </c>
      <c r="M33" s="79" t="s">
        <v>139</v>
      </c>
      <c r="N33" s="79">
        <v>15013998</v>
      </c>
      <c r="O33" s="80">
        <v>45014</v>
      </c>
      <c r="P33" s="79" t="s">
        <v>140</v>
      </c>
      <c r="Q33" s="79">
        <v>16148625</v>
      </c>
      <c r="R33" s="78">
        <v>44966</v>
      </c>
      <c r="S33" s="77" t="s">
        <v>141</v>
      </c>
      <c r="T33" s="77">
        <v>15414691</v>
      </c>
      <c r="U33" s="77" t="s">
        <v>110</v>
      </c>
      <c r="V33" s="77" t="s">
        <v>110</v>
      </c>
      <c r="W33" s="80">
        <v>45068</v>
      </c>
      <c r="X33" s="79" t="s">
        <v>142</v>
      </c>
      <c r="Y33" s="79">
        <v>16959687</v>
      </c>
      <c r="Z33" s="79" t="s">
        <v>143</v>
      </c>
      <c r="AA33" s="79">
        <v>17025130</v>
      </c>
      <c r="AB33" s="79" t="s">
        <v>110</v>
      </c>
      <c r="AC33" s="79" t="s">
        <v>110</v>
      </c>
      <c r="AD33" s="79" t="s">
        <v>110</v>
      </c>
      <c r="AE33" s="78">
        <v>45159</v>
      </c>
      <c r="AF33" s="77" t="s">
        <v>144</v>
      </c>
      <c r="AG33" s="77">
        <v>18372304</v>
      </c>
      <c r="AH33" s="77" t="s">
        <v>145</v>
      </c>
      <c r="AI33" s="77">
        <v>19169550</v>
      </c>
      <c r="AJ33" s="80">
        <v>45166</v>
      </c>
      <c r="AK33" s="79" t="s">
        <v>146</v>
      </c>
      <c r="AL33" s="79">
        <v>19011800</v>
      </c>
      <c r="AM33" s="79" t="s">
        <v>110</v>
      </c>
      <c r="AN33" s="79" t="s">
        <v>110</v>
      </c>
      <c r="AO33" s="69">
        <v>45288</v>
      </c>
      <c r="AP33" s="70" t="s">
        <v>147</v>
      </c>
      <c r="AQ33" s="70">
        <v>21118336</v>
      </c>
      <c r="AR33" s="70" t="s">
        <v>110</v>
      </c>
      <c r="AS33" s="70" t="s">
        <v>110</v>
      </c>
      <c r="AT33" s="80">
        <v>45548</v>
      </c>
      <c r="AU33" s="79" t="s">
        <v>148</v>
      </c>
      <c r="AV33" s="79">
        <v>25855041</v>
      </c>
      <c r="AW33" s="79" t="s">
        <v>110</v>
      </c>
      <c r="AX33" s="79" t="s">
        <v>110</v>
      </c>
      <c r="AY33" s="68" t="s">
        <v>110</v>
      </c>
      <c r="AZ33" s="68" t="s">
        <v>110</v>
      </c>
      <c r="BA33" s="68" t="s">
        <v>110</v>
      </c>
      <c r="BB33" s="68" t="s">
        <v>149</v>
      </c>
      <c r="BC33" s="68">
        <v>25928406</v>
      </c>
      <c r="BD33" s="74" t="s">
        <v>110</v>
      </c>
      <c r="BE33" s="74" t="s">
        <v>110</v>
      </c>
      <c r="BF33" s="74" t="s">
        <v>110</v>
      </c>
      <c r="BG33" s="74" t="s">
        <v>110</v>
      </c>
      <c r="BH33" s="74" t="s">
        <v>110</v>
      </c>
      <c r="BI33" s="74" t="s">
        <v>110</v>
      </c>
      <c r="BJ33" s="83" t="s">
        <v>110</v>
      </c>
    </row>
    <row r="34" spans="1:62" ht="33" customHeight="1">
      <c r="A34" s="109" t="s">
        <v>150</v>
      </c>
      <c r="B34" s="109">
        <v>4</v>
      </c>
      <c r="C34" s="79">
        <v>1</v>
      </c>
      <c r="D34" s="79" t="s">
        <v>151</v>
      </c>
      <c r="E34" s="78">
        <v>45559</v>
      </c>
      <c r="F34" s="77" t="s">
        <v>152</v>
      </c>
      <c r="G34" s="77">
        <v>25906173</v>
      </c>
      <c r="H34" s="77" t="s">
        <v>153</v>
      </c>
      <c r="I34" s="77">
        <v>27279938</v>
      </c>
      <c r="J34" s="87" t="s">
        <v>154</v>
      </c>
      <c r="K34" s="79" t="s">
        <v>155</v>
      </c>
      <c r="L34" s="79">
        <v>28937749</v>
      </c>
      <c r="M34" s="87" t="s">
        <v>156</v>
      </c>
      <c r="N34" s="79"/>
      <c r="O34" s="79"/>
      <c r="P34" s="79"/>
      <c r="Q34" s="79"/>
      <c r="R34" s="78">
        <v>45667</v>
      </c>
      <c r="S34" s="77" t="s">
        <v>157</v>
      </c>
      <c r="T34" s="77">
        <v>28937749</v>
      </c>
      <c r="U34" s="77"/>
      <c r="V34" s="77"/>
      <c r="W34" s="80">
        <v>45665</v>
      </c>
      <c r="X34" s="79" t="s">
        <v>155</v>
      </c>
      <c r="Y34" s="79">
        <v>28937749</v>
      </c>
      <c r="Z34" s="79" t="s">
        <v>158</v>
      </c>
      <c r="AA34" s="79">
        <v>32586380</v>
      </c>
      <c r="AB34" s="79"/>
      <c r="AC34" s="79"/>
      <c r="AD34" s="79"/>
      <c r="AE34" s="77"/>
      <c r="AF34" s="77"/>
      <c r="AG34" s="77"/>
      <c r="AH34" s="77"/>
      <c r="AI34" s="77"/>
      <c r="AJ34" s="79"/>
      <c r="AK34" s="79"/>
      <c r="AL34" s="79"/>
      <c r="AM34" s="79"/>
      <c r="AN34" s="79"/>
      <c r="AO34" s="70"/>
      <c r="AP34" s="70"/>
      <c r="AQ34" s="70"/>
      <c r="AR34" s="70"/>
      <c r="AS34" s="70"/>
      <c r="AT34" s="79"/>
      <c r="AU34" s="79"/>
      <c r="AV34" s="79"/>
      <c r="AW34" s="79"/>
      <c r="AX34" s="79"/>
      <c r="AY34" s="68"/>
      <c r="AZ34" s="68"/>
      <c r="BA34" s="68"/>
      <c r="BB34" s="68"/>
      <c r="BC34" s="68"/>
      <c r="BD34" s="74" t="s">
        <v>159</v>
      </c>
      <c r="BE34" s="73">
        <v>45548</v>
      </c>
      <c r="BF34" s="74" t="s">
        <v>160</v>
      </c>
      <c r="BG34" s="74">
        <v>25855387</v>
      </c>
      <c r="BH34" s="74" t="s">
        <v>161</v>
      </c>
      <c r="BI34" s="74">
        <v>29007378</v>
      </c>
      <c r="BJ34" s="83" t="s">
        <v>162</v>
      </c>
    </row>
    <row r="35" spans="1:62" ht="82.5" outlineLevel="1">
      <c r="A35" s="109"/>
      <c r="B35" s="109"/>
      <c r="C35" s="79">
        <v>2</v>
      </c>
      <c r="D35" s="79" t="s">
        <v>163</v>
      </c>
      <c r="E35" s="78">
        <v>45351</v>
      </c>
      <c r="F35" s="77" t="s">
        <v>164</v>
      </c>
      <c r="G35" s="77">
        <v>22052129</v>
      </c>
      <c r="H35" s="77" t="s">
        <v>165</v>
      </c>
      <c r="I35" s="77">
        <v>27842653</v>
      </c>
      <c r="J35" s="87" t="s">
        <v>166</v>
      </c>
      <c r="K35" s="79"/>
      <c r="L35" s="79"/>
      <c r="M35" s="79"/>
      <c r="N35" s="79"/>
      <c r="O35" s="79"/>
      <c r="P35" s="79"/>
      <c r="Q35" s="79"/>
      <c r="R35" s="82">
        <v>45705</v>
      </c>
      <c r="S35" s="77" t="s">
        <v>167</v>
      </c>
      <c r="T35" s="77">
        <v>29844931</v>
      </c>
      <c r="U35" s="77"/>
      <c r="V35" s="77"/>
      <c r="W35" s="79"/>
      <c r="X35" s="79"/>
      <c r="Y35" s="79"/>
      <c r="Z35" s="79" t="s">
        <v>168</v>
      </c>
      <c r="AA35" s="79"/>
      <c r="AB35" s="79"/>
      <c r="AC35" s="79"/>
      <c r="AD35" s="79"/>
      <c r="AE35" s="77"/>
      <c r="AF35" s="77"/>
      <c r="AG35" s="77"/>
      <c r="AH35" s="77"/>
      <c r="AI35" s="77"/>
      <c r="AJ35" s="79"/>
      <c r="AK35" s="79"/>
      <c r="AL35" s="79"/>
      <c r="AM35" s="79"/>
      <c r="AN35" s="79"/>
      <c r="AO35" s="70"/>
      <c r="AP35" s="70"/>
      <c r="AQ35" s="70"/>
      <c r="AR35" s="70"/>
      <c r="AS35" s="70"/>
      <c r="AT35" s="79"/>
      <c r="AU35" s="79"/>
      <c r="AV35" s="79"/>
      <c r="AW35" s="79"/>
      <c r="AX35" s="79"/>
      <c r="AY35" s="68"/>
      <c r="AZ35" s="68"/>
      <c r="BA35" s="68"/>
      <c r="BB35" s="68"/>
      <c r="BC35" s="68"/>
      <c r="BD35" s="74" t="s">
        <v>169</v>
      </c>
      <c r="BE35" s="73">
        <v>45675</v>
      </c>
      <c r="BF35" s="74" t="s">
        <v>170</v>
      </c>
      <c r="BG35" s="74">
        <v>29104137</v>
      </c>
      <c r="BH35" s="74" t="s">
        <v>171</v>
      </c>
      <c r="BI35" s="74">
        <v>29405447</v>
      </c>
      <c r="BJ35" s="83" t="s">
        <v>172</v>
      </c>
    </row>
    <row r="36" spans="1:62" ht="33" customHeight="1" outlineLevel="1">
      <c r="A36" s="109"/>
      <c r="B36" s="109"/>
      <c r="C36" s="79">
        <v>38</v>
      </c>
      <c r="D36" s="79" t="s">
        <v>173</v>
      </c>
      <c r="E36" s="78">
        <v>45580</v>
      </c>
      <c r="F36" s="77" t="s">
        <v>174</v>
      </c>
      <c r="G36" s="77">
        <v>26731714</v>
      </c>
      <c r="H36" s="77" t="s">
        <v>175</v>
      </c>
      <c r="I36" s="77">
        <v>27223795</v>
      </c>
      <c r="J36" s="80">
        <v>45600</v>
      </c>
      <c r="K36" s="79" t="s">
        <v>176</v>
      </c>
      <c r="L36" s="79">
        <v>27199952</v>
      </c>
      <c r="M36" s="79" t="s">
        <v>177</v>
      </c>
      <c r="N36" s="79">
        <v>28070269</v>
      </c>
      <c r="O36" s="79" t="s">
        <v>110</v>
      </c>
      <c r="P36" s="79" t="s">
        <v>110</v>
      </c>
      <c r="Q36" s="79" t="s">
        <v>110</v>
      </c>
      <c r="R36" s="78">
        <v>45607</v>
      </c>
      <c r="S36" s="77" t="s">
        <v>178</v>
      </c>
      <c r="T36" s="77">
        <v>27379718</v>
      </c>
      <c r="U36" s="77"/>
      <c r="V36" s="77"/>
      <c r="W36" s="80">
        <v>45600</v>
      </c>
      <c r="X36" s="79" t="s">
        <v>179</v>
      </c>
      <c r="Y36" s="79">
        <v>27199952</v>
      </c>
      <c r="Z36" s="79" t="s">
        <v>180</v>
      </c>
      <c r="AA36" s="79">
        <v>29365105</v>
      </c>
      <c r="AB36" s="80">
        <v>45693</v>
      </c>
      <c r="AC36" s="79" t="s">
        <v>181</v>
      </c>
      <c r="AD36" s="79">
        <v>29572560</v>
      </c>
      <c r="AE36" s="77"/>
      <c r="AF36" s="77"/>
      <c r="AG36" s="77"/>
      <c r="AH36" s="77"/>
      <c r="AI36" s="77"/>
      <c r="AJ36" s="79"/>
      <c r="AK36" s="79"/>
      <c r="AL36" s="79"/>
      <c r="AM36" s="79"/>
      <c r="AN36" s="79"/>
      <c r="AO36" s="70"/>
      <c r="AP36" s="70"/>
      <c r="AQ36" s="70"/>
      <c r="AR36" s="70"/>
      <c r="AS36" s="70"/>
      <c r="AT36" s="79"/>
      <c r="AU36" s="79"/>
      <c r="AV36" s="79"/>
      <c r="AW36" s="79"/>
      <c r="AX36" s="79"/>
      <c r="AY36" s="68"/>
      <c r="AZ36" s="68"/>
      <c r="BA36" s="68"/>
      <c r="BB36" s="68"/>
      <c r="BC36" s="68"/>
      <c r="BD36" s="74" t="s">
        <v>182</v>
      </c>
      <c r="BE36" s="73">
        <v>45539</v>
      </c>
      <c r="BF36" s="74" t="s">
        <v>183</v>
      </c>
      <c r="BG36" s="74">
        <v>25631947</v>
      </c>
      <c r="BH36" s="74" t="s">
        <v>184</v>
      </c>
      <c r="BI36" s="74"/>
      <c r="BJ36" s="83" t="s">
        <v>185</v>
      </c>
    </row>
    <row r="37" spans="1:62" ht="33" customHeight="1" outlineLevel="1">
      <c r="A37" s="109"/>
      <c r="B37" s="109"/>
      <c r="C37" s="79">
        <v>39</v>
      </c>
      <c r="D37" s="79" t="s">
        <v>186</v>
      </c>
      <c r="E37" s="78">
        <v>45581</v>
      </c>
      <c r="F37" s="77" t="s">
        <v>187</v>
      </c>
      <c r="G37" s="77">
        <v>26730747</v>
      </c>
      <c r="H37" s="77" t="s">
        <v>188</v>
      </c>
      <c r="I37" s="77">
        <v>27178382</v>
      </c>
      <c r="J37" s="80">
        <v>45600</v>
      </c>
      <c r="K37" s="79" t="s">
        <v>189</v>
      </c>
      <c r="L37" s="79">
        <v>27199980</v>
      </c>
      <c r="M37" s="79" t="s">
        <v>190</v>
      </c>
      <c r="N37" s="79">
        <v>27253769</v>
      </c>
      <c r="O37" s="79" t="s">
        <v>110</v>
      </c>
      <c r="P37" s="79" t="s">
        <v>110</v>
      </c>
      <c r="Q37" s="79" t="s">
        <v>110</v>
      </c>
      <c r="R37" s="78">
        <v>45607</v>
      </c>
      <c r="S37" s="77" t="s">
        <v>191</v>
      </c>
      <c r="T37" s="77">
        <v>27379419</v>
      </c>
      <c r="U37" s="77" t="s">
        <v>192</v>
      </c>
      <c r="V37" s="77">
        <v>28063792</v>
      </c>
      <c r="W37" s="80">
        <v>45652</v>
      </c>
      <c r="X37" s="79" t="s">
        <v>193</v>
      </c>
      <c r="Y37" s="79">
        <v>28621493</v>
      </c>
      <c r="Z37" s="79" t="s">
        <v>194</v>
      </c>
      <c r="AA37" s="79">
        <v>29366617</v>
      </c>
      <c r="AB37" s="80">
        <v>45693</v>
      </c>
      <c r="AC37" s="79" t="s">
        <v>195</v>
      </c>
      <c r="AD37" s="79">
        <v>29572421</v>
      </c>
      <c r="AE37" s="77"/>
      <c r="AF37" s="77"/>
      <c r="AG37" s="77"/>
      <c r="AH37" s="77"/>
      <c r="AI37" s="77"/>
      <c r="AJ37" s="79"/>
      <c r="AK37" s="79"/>
      <c r="AL37" s="79"/>
      <c r="AM37" s="79"/>
      <c r="AN37" s="79"/>
      <c r="AO37" s="70"/>
      <c r="AP37" s="70"/>
      <c r="AQ37" s="70"/>
      <c r="AR37" s="70"/>
      <c r="AS37" s="70"/>
      <c r="AT37" s="79"/>
      <c r="AU37" s="79"/>
      <c r="AV37" s="79"/>
      <c r="AW37" s="79"/>
      <c r="AX37" s="79"/>
      <c r="AY37" s="68"/>
      <c r="AZ37" s="68"/>
      <c r="BA37" s="68"/>
      <c r="BB37" s="68"/>
      <c r="BC37" s="68"/>
      <c r="BD37" s="74" t="s">
        <v>196</v>
      </c>
      <c r="BE37" s="73">
        <v>45539</v>
      </c>
      <c r="BF37" s="74" t="s">
        <v>197</v>
      </c>
      <c r="BG37" s="74">
        <v>25632479</v>
      </c>
      <c r="BH37" s="74"/>
      <c r="BI37" s="74"/>
      <c r="BJ37" s="83"/>
    </row>
    <row r="38" spans="1:62" ht="33" customHeight="1" outlineLevel="1">
      <c r="A38" s="109"/>
      <c r="B38" s="109"/>
      <c r="C38" s="79">
        <v>40</v>
      </c>
      <c r="D38" s="79" t="s">
        <v>198</v>
      </c>
      <c r="E38" s="78">
        <v>45585</v>
      </c>
      <c r="F38" s="77" t="s">
        <v>199</v>
      </c>
      <c r="G38" s="77">
        <v>26730355</v>
      </c>
      <c r="H38" s="77" t="s">
        <v>200</v>
      </c>
      <c r="I38" s="77">
        <v>27258846</v>
      </c>
      <c r="J38" s="80">
        <v>45600</v>
      </c>
      <c r="K38" s="79" t="s">
        <v>201</v>
      </c>
      <c r="L38" s="79">
        <v>27199999</v>
      </c>
      <c r="M38" s="79" t="s">
        <v>202</v>
      </c>
      <c r="N38" s="79">
        <v>27253609</v>
      </c>
      <c r="O38" s="80">
        <v>45608</v>
      </c>
      <c r="P38" s="79" t="s">
        <v>203</v>
      </c>
      <c r="Q38" s="79">
        <v>27405957</v>
      </c>
      <c r="R38" s="78">
        <v>45607</v>
      </c>
      <c r="S38" s="77" t="s">
        <v>204</v>
      </c>
      <c r="T38" s="77">
        <v>27382087</v>
      </c>
      <c r="U38" s="77" t="s">
        <v>110</v>
      </c>
      <c r="V38" s="77" t="s">
        <v>110</v>
      </c>
      <c r="W38" s="80">
        <v>45628</v>
      </c>
      <c r="X38" s="79" t="s">
        <v>205</v>
      </c>
      <c r="Y38" s="79">
        <v>28031057</v>
      </c>
      <c r="Z38" s="79" t="s">
        <v>206</v>
      </c>
      <c r="AA38" s="79">
        <v>29367664</v>
      </c>
      <c r="AB38" s="80">
        <v>45693</v>
      </c>
      <c r="AC38" s="79" t="s">
        <v>207</v>
      </c>
      <c r="AD38" s="79">
        <v>29572472</v>
      </c>
      <c r="AE38" s="77"/>
      <c r="AF38" s="77"/>
      <c r="AG38" s="77"/>
      <c r="AH38" s="77"/>
      <c r="AI38" s="77"/>
      <c r="AJ38" s="79"/>
      <c r="AK38" s="79"/>
      <c r="AL38" s="79"/>
      <c r="AM38" s="79"/>
      <c r="AN38" s="79"/>
      <c r="AO38" s="70"/>
      <c r="AP38" s="70"/>
      <c r="AQ38" s="70"/>
      <c r="AR38" s="70"/>
      <c r="AS38" s="70"/>
      <c r="AT38" s="79"/>
      <c r="AU38" s="79"/>
      <c r="AV38" s="79"/>
      <c r="AW38" s="79"/>
      <c r="AX38" s="79"/>
      <c r="AY38" s="68"/>
      <c r="AZ38" s="68"/>
      <c r="BA38" s="68"/>
      <c r="BB38" s="68"/>
      <c r="BC38" s="68"/>
      <c r="BD38" s="74" t="s">
        <v>208</v>
      </c>
      <c r="BE38" s="73">
        <v>45540</v>
      </c>
      <c r="BF38" s="74" t="s">
        <v>209</v>
      </c>
      <c r="BG38" s="74">
        <v>25655665</v>
      </c>
      <c r="BH38" s="74"/>
      <c r="BI38" s="74"/>
      <c r="BJ38" s="83"/>
    </row>
    <row r="39" spans="1:62" ht="33" customHeight="1" outlineLevel="1">
      <c r="A39" s="109"/>
      <c r="B39" s="109"/>
      <c r="C39" s="79">
        <v>49</v>
      </c>
      <c r="D39" s="79" t="s">
        <v>210</v>
      </c>
      <c r="E39" s="78">
        <v>45544</v>
      </c>
      <c r="F39" s="77" t="s">
        <v>211</v>
      </c>
      <c r="G39" s="77">
        <v>25738674</v>
      </c>
      <c r="H39" s="77" t="s">
        <v>212</v>
      </c>
      <c r="I39" s="77">
        <v>25936854</v>
      </c>
      <c r="J39" s="80">
        <v>45478</v>
      </c>
      <c r="K39" s="79" t="s">
        <v>213</v>
      </c>
      <c r="L39" s="79">
        <v>24508772</v>
      </c>
      <c r="M39" s="79" t="s">
        <v>214</v>
      </c>
      <c r="N39" s="79">
        <v>25158324</v>
      </c>
      <c r="O39" s="79" t="s">
        <v>110</v>
      </c>
      <c r="P39" s="79" t="s">
        <v>110</v>
      </c>
      <c r="Q39" s="79" t="s">
        <v>110</v>
      </c>
      <c r="R39" s="78">
        <v>45596</v>
      </c>
      <c r="S39" s="77" t="s">
        <v>215</v>
      </c>
      <c r="T39" s="77">
        <v>27110903</v>
      </c>
      <c r="U39" s="77" t="s">
        <v>110</v>
      </c>
      <c r="V39" s="77" t="s">
        <v>110</v>
      </c>
      <c r="W39" s="80">
        <v>45596</v>
      </c>
      <c r="X39" s="79" t="s">
        <v>215</v>
      </c>
      <c r="Y39" s="79">
        <v>27110903</v>
      </c>
      <c r="Z39" s="79"/>
      <c r="AA39" s="79"/>
      <c r="AB39" s="79"/>
      <c r="AC39" s="79"/>
      <c r="AD39" s="79"/>
      <c r="AE39" s="77"/>
      <c r="AF39" s="77"/>
      <c r="AG39" s="77"/>
      <c r="AH39" s="77" t="s">
        <v>216</v>
      </c>
      <c r="AI39" s="77">
        <v>35871959</v>
      </c>
      <c r="AJ39" s="79"/>
      <c r="AK39" s="79"/>
      <c r="AL39" s="79"/>
      <c r="AM39" s="79"/>
      <c r="AN39" s="79"/>
      <c r="AO39" s="70"/>
      <c r="AP39" s="70"/>
      <c r="AQ39" s="70"/>
      <c r="AR39" s="70"/>
      <c r="AS39" s="70"/>
      <c r="AT39" s="79"/>
      <c r="AU39" s="79"/>
      <c r="AV39" s="79"/>
      <c r="AW39" s="79"/>
      <c r="AX39" s="79"/>
      <c r="AY39" s="68"/>
      <c r="AZ39" s="68"/>
      <c r="BA39" s="68"/>
      <c r="BB39" s="68"/>
      <c r="BC39" s="68"/>
      <c r="BD39" s="74" t="s">
        <v>217</v>
      </c>
      <c r="BE39" s="73">
        <v>45544</v>
      </c>
      <c r="BF39" s="74" t="s">
        <v>218</v>
      </c>
      <c r="BG39" s="74">
        <v>25740912</v>
      </c>
      <c r="BH39" s="74" t="s">
        <v>219</v>
      </c>
      <c r="BI39" s="74">
        <v>26721462</v>
      </c>
      <c r="BJ39" s="83"/>
    </row>
    <row r="40" spans="1:62" ht="33" customHeight="1" outlineLevel="1">
      <c r="A40" s="109"/>
      <c r="B40" s="109"/>
      <c r="C40" s="79">
        <v>50</v>
      </c>
      <c r="D40" s="79" t="s">
        <v>220</v>
      </c>
      <c r="E40" s="78">
        <v>45589</v>
      </c>
      <c r="F40" s="77" t="s">
        <v>221</v>
      </c>
      <c r="G40" s="77">
        <v>26943540</v>
      </c>
      <c r="H40" s="77" t="s">
        <v>222</v>
      </c>
      <c r="I40" s="77">
        <v>28234441</v>
      </c>
      <c r="J40" s="80">
        <v>45478</v>
      </c>
      <c r="K40" s="79" t="s">
        <v>223</v>
      </c>
      <c r="L40" s="79">
        <v>24508956</v>
      </c>
      <c r="M40" s="79" t="s">
        <v>224</v>
      </c>
      <c r="N40" s="79">
        <v>25502752</v>
      </c>
      <c r="O40" s="79" t="s">
        <v>110</v>
      </c>
      <c r="P40" s="79" t="s">
        <v>110</v>
      </c>
      <c r="Q40" s="79" t="s">
        <v>110</v>
      </c>
      <c r="R40" s="78">
        <v>45799</v>
      </c>
      <c r="S40" s="77" t="s">
        <v>225</v>
      </c>
      <c r="T40" s="77">
        <v>32425696</v>
      </c>
      <c r="U40" s="77"/>
      <c r="V40" s="77"/>
      <c r="W40" s="79"/>
      <c r="X40" s="79"/>
      <c r="Y40" s="79"/>
      <c r="Z40" s="79"/>
      <c r="AA40" s="79"/>
      <c r="AB40" s="79"/>
      <c r="AC40" s="79"/>
      <c r="AD40" s="79"/>
      <c r="AE40" s="77"/>
      <c r="AF40" s="77"/>
      <c r="AG40" s="77"/>
      <c r="AH40" s="77"/>
      <c r="AI40" s="77"/>
      <c r="AJ40" s="79"/>
      <c r="AK40" s="79"/>
      <c r="AL40" s="79"/>
      <c r="AM40" s="79"/>
      <c r="AN40" s="79"/>
      <c r="AO40" s="70"/>
      <c r="AP40" s="70"/>
      <c r="AQ40" s="70"/>
      <c r="AR40" s="70"/>
      <c r="AS40" s="70"/>
      <c r="AT40" s="79"/>
      <c r="AU40" s="79"/>
      <c r="AV40" s="79"/>
      <c r="AW40" s="79"/>
      <c r="AX40" s="79"/>
      <c r="AY40" s="68"/>
      <c r="AZ40" s="68"/>
      <c r="BA40" s="68"/>
      <c r="BB40" s="68"/>
      <c r="BC40" s="68"/>
      <c r="BD40" s="74" t="s">
        <v>226</v>
      </c>
      <c r="BE40" s="73">
        <v>45544</v>
      </c>
      <c r="BF40" s="74" t="s">
        <v>227</v>
      </c>
      <c r="BG40" s="74">
        <v>25742097</v>
      </c>
      <c r="BH40" s="74"/>
      <c r="BI40" s="74"/>
      <c r="BJ40" s="83"/>
    </row>
    <row r="41" spans="1:62" ht="33" customHeight="1" outlineLevel="1">
      <c r="A41" s="109"/>
      <c r="B41" s="109"/>
      <c r="C41" s="79">
        <v>51</v>
      </c>
      <c r="D41" s="79" t="s">
        <v>228</v>
      </c>
      <c r="E41" s="77" t="s">
        <v>229</v>
      </c>
      <c r="F41" s="77" t="s">
        <v>230</v>
      </c>
      <c r="G41" s="77" t="s">
        <v>231</v>
      </c>
      <c r="H41" s="77" t="s">
        <v>232</v>
      </c>
      <c r="I41" s="77">
        <v>25502355</v>
      </c>
      <c r="J41" s="80">
        <v>45478</v>
      </c>
      <c r="K41" s="79" t="s">
        <v>233</v>
      </c>
      <c r="L41" s="79">
        <v>24513974</v>
      </c>
      <c r="M41" s="79" t="s">
        <v>232</v>
      </c>
      <c r="N41" s="79">
        <v>25502355</v>
      </c>
      <c r="O41" s="79" t="s">
        <v>110</v>
      </c>
      <c r="P41" s="79" t="s">
        <v>110</v>
      </c>
      <c r="Q41" s="79" t="s">
        <v>110</v>
      </c>
      <c r="R41" s="78">
        <v>45812</v>
      </c>
      <c r="S41" s="77" t="s">
        <v>234</v>
      </c>
      <c r="T41" s="77">
        <v>32758751</v>
      </c>
      <c r="U41" s="77"/>
      <c r="V41" s="77"/>
      <c r="W41" s="79"/>
      <c r="X41" s="79"/>
      <c r="Y41" s="79"/>
      <c r="Z41" s="79"/>
      <c r="AA41" s="79"/>
      <c r="AB41" s="79"/>
      <c r="AC41" s="79"/>
      <c r="AD41" s="79"/>
      <c r="AE41" s="77"/>
      <c r="AF41" s="77"/>
      <c r="AG41" s="77"/>
      <c r="AH41" s="77"/>
      <c r="AI41" s="77"/>
      <c r="AJ41" s="79"/>
      <c r="AK41" s="79"/>
      <c r="AL41" s="79"/>
      <c r="AM41" s="79"/>
      <c r="AN41" s="79"/>
      <c r="AO41" s="70"/>
      <c r="AP41" s="70"/>
      <c r="AQ41" s="70"/>
      <c r="AR41" s="70"/>
      <c r="AS41" s="70"/>
      <c r="AT41" s="79"/>
      <c r="AU41" s="79"/>
      <c r="AV41" s="79"/>
      <c r="AW41" s="79"/>
      <c r="AX41" s="79"/>
      <c r="AY41" s="68"/>
      <c r="AZ41" s="68"/>
      <c r="BA41" s="68"/>
      <c r="BB41" s="68"/>
      <c r="BC41" s="68"/>
      <c r="BD41" s="74" t="s">
        <v>235</v>
      </c>
      <c r="BE41" s="73">
        <v>45545</v>
      </c>
      <c r="BF41" s="74" t="s">
        <v>236</v>
      </c>
      <c r="BG41" s="74">
        <v>25752245</v>
      </c>
      <c r="BH41" s="74"/>
      <c r="BI41" s="74"/>
      <c r="BJ41" s="83"/>
    </row>
    <row r="42" spans="1:62" ht="33" customHeight="1" outlineLevel="1">
      <c r="A42" s="109"/>
      <c r="B42" s="109"/>
      <c r="C42" s="79">
        <v>52</v>
      </c>
      <c r="D42" s="79" t="s">
        <v>237</v>
      </c>
      <c r="E42" s="77" t="s">
        <v>238</v>
      </c>
      <c r="F42" s="77" t="s">
        <v>239</v>
      </c>
      <c r="G42" s="77">
        <v>22017500</v>
      </c>
      <c r="H42" s="77" t="s">
        <v>240</v>
      </c>
      <c r="I42" s="77">
        <v>28447237</v>
      </c>
      <c r="J42" s="80">
        <v>45478</v>
      </c>
      <c r="K42" s="79" t="s">
        <v>241</v>
      </c>
      <c r="L42" s="79">
        <v>24514600</v>
      </c>
      <c r="M42" s="79" t="s">
        <v>242</v>
      </c>
      <c r="N42" s="79">
        <v>25502905</v>
      </c>
      <c r="O42" s="79" t="s">
        <v>110</v>
      </c>
      <c r="P42" s="79" t="s">
        <v>110</v>
      </c>
      <c r="Q42" s="79" t="s">
        <v>110</v>
      </c>
      <c r="R42" s="78">
        <v>45812</v>
      </c>
      <c r="S42" s="77" t="s">
        <v>243</v>
      </c>
      <c r="T42" s="77">
        <v>32774150</v>
      </c>
      <c r="U42" s="77"/>
      <c r="V42" s="77"/>
      <c r="W42" s="79"/>
      <c r="X42" s="79"/>
      <c r="Y42" s="79"/>
      <c r="Z42" s="79"/>
      <c r="AA42" s="79"/>
      <c r="AB42" s="79"/>
      <c r="AC42" s="79"/>
      <c r="AD42" s="79"/>
      <c r="AE42" s="77"/>
      <c r="AF42" s="77"/>
      <c r="AG42" s="77"/>
      <c r="AH42" s="77"/>
      <c r="AI42" s="77"/>
      <c r="AJ42" s="79"/>
      <c r="AK42" s="79"/>
      <c r="AL42" s="79"/>
      <c r="AM42" s="79"/>
      <c r="AN42" s="79"/>
      <c r="AO42" s="70"/>
      <c r="AP42" s="70"/>
      <c r="AQ42" s="70"/>
      <c r="AR42" s="70"/>
      <c r="AS42" s="70"/>
      <c r="AT42" s="79"/>
      <c r="AU42" s="79"/>
      <c r="AV42" s="79"/>
      <c r="AW42" s="79"/>
      <c r="AX42" s="79"/>
      <c r="AY42" s="68"/>
      <c r="AZ42" s="68"/>
      <c r="BA42" s="68"/>
      <c r="BB42" s="68"/>
      <c r="BC42" s="68"/>
      <c r="BD42" s="74" t="s">
        <v>244</v>
      </c>
      <c r="BE42" s="73">
        <v>45545</v>
      </c>
      <c r="BF42" s="74" t="s">
        <v>245</v>
      </c>
      <c r="BG42" s="74">
        <v>25753886</v>
      </c>
      <c r="BH42" s="74"/>
      <c r="BI42" s="74"/>
      <c r="BJ42" s="83"/>
    </row>
    <row r="43" spans="1:62" ht="33" customHeight="1" outlineLevel="1">
      <c r="A43" s="109"/>
      <c r="B43" s="109"/>
      <c r="C43" s="79">
        <v>53</v>
      </c>
      <c r="D43" s="79" t="s">
        <v>246</v>
      </c>
      <c r="E43" s="78">
        <v>45600</v>
      </c>
      <c r="F43" s="77" t="s">
        <v>247</v>
      </c>
      <c r="G43" s="77">
        <v>27180112</v>
      </c>
      <c r="H43" s="77" t="s">
        <v>248</v>
      </c>
      <c r="I43" s="77">
        <v>28055351</v>
      </c>
      <c r="J43" s="80">
        <v>45478</v>
      </c>
      <c r="K43" s="79" t="s">
        <v>249</v>
      </c>
      <c r="L43" s="79">
        <v>24514819</v>
      </c>
      <c r="M43" s="79" t="s">
        <v>250</v>
      </c>
      <c r="N43" s="79">
        <v>24650381</v>
      </c>
      <c r="O43" s="80">
        <v>45492</v>
      </c>
      <c r="P43" s="79" t="s">
        <v>251</v>
      </c>
      <c r="Q43" s="79">
        <v>24763441</v>
      </c>
      <c r="R43" s="78">
        <v>45804</v>
      </c>
      <c r="S43" s="77" t="s">
        <v>252</v>
      </c>
      <c r="T43" s="77">
        <v>32546616</v>
      </c>
      <c r="U43" s="77" t="s">
        <v>110</v>
      </c>
      <c r="V43" s="77" t="s">
        <v>110</v>
      </c>
      <c r="W43" s="80"/>
      <c r="X43" s="79"/>
      <c r="Y43" s="79"/>
      <c r="Z43" s="79"/>
      <c r="AA43" s="79"/>
      <c r="AB43" s="79"/>
      <c r="AC43" s="79"/>
      <c r="AD43" s="79"/>
      <c r="AE43" s="77"/>
      <c r="AF43" s="77"/>
      <c r="AG43" s="77"/>
      <c r="AH43" s="77" t="s">
        <v>253</v>
      </c>
      <c r="AI43" s="77">
        <v>35614077</v>
      </c>
      <c r="AJ43" s="79"/>
      <c r="AK43" s="79"/>
      <c r="AL43" s="79"/>
      <c r="AM43" s="79"/>
      <c r="AN43" s="79"/>
      <c r="AO43" s="70"/>
      <c r="AP43" s="70"/>
      <c r="AQ43" s="70"/>
      <c r="AR43" s="70"/>
      <c r="AS43" s="70"/>
      <c r="AT43" s="79"/>
      <c r="AU43" s="79"/>
      <c r="AV43" s="79"/>
      <c r="AW43" s="79"/>
      <c r="AX43" s="79"/>
      <c r="AY43" s="68"/>
      <c r="AZ43" s="68"/>
      <c r="BA43" s="68"/>
      <c r="BB43" s="68"/>
      <c r="BC43" s="68"/>
      <c r="BD43" s="74" t="s">
        <v>254</v>
      </c>
      <c r="BE43" s="73">
        <v>45545</v>
      </c>
      <c r="BF43" s="74" t="s">
        <v>255</v>
      </c>
      <c r="BG43" s="74">
        <v>25755261</v>
      </c>
      <c r="BH43" s="74"/>
      <c r="BI43" s="74"/>
      <c r="BJ43" s="83"/>
    </row>
    <row r="44" spans="1:62" ht="33" customHeight="1" outlineLevel="1">
      <c r="A44" s="109"/>
      <c r="B44" s="109"/>
      <c r="C44" s="79">
        <v>54</v>
      </c>
      <c r="D44" s="79" t="s">
        <v>256</v>
      </c>
      <c r="E44" s="78">
        <v>45517</v>
      </c>
      <c r="F44" s="77" t="s">
        <v>257</v>
      </c>
      <c r="G44" s="77">
        <v>25171365</v>
      </c>
      <c r="H44" s="77" t="s">
        <v>258</v>
      </c>
      <c r="I44" s="77">
        <v>26901583</v>
      </c>
      <c r="J44" s="80">
        <v>45478</v>
      </c>
      <c r="K44" s="79" t="s">
        <v>259</v>
      </c>
      <c r="L44" s="79">
        <v>24515166</v>
      </c>
      <c r="M44" s="79" t="s">
        <v>260</v>
      </c>
      <c r="N44" s="79">
        <v>24629969</v>
      </c>
      <c r="O44" s="80">
        <v>45492</v>
      </c>
      <c r="P44" s="79" t="s">
        <v>261</v>
      </c>
      <c r="Q44" s="79">
        <v>24763101</v>
      </c>
      <c r="R44" s="78">
        <v>45606</v>
      </c>
      <c r="S44" s="77" t="s">
        <v>262</v>
      </c>
      <c r="T44" s="77">
        <v>27352366</v>
      </c>
      <c r="U44" s="77" t="s">
        <v>263</v>
      </c>
      <c r="V44" s="77">
        <v>28911650</v>
      </c>
      <c r="W44" s="80">
        <v>45606</v>
      </c>
      <c r="X44" s="79" t="s">
        <v>262</v>
      </c>
      <c r="Y44" s="79">
        <v>27352366</v>
      </c>
      <c r="Z44" s="79" t="s">
        <v>263</v>
      </c>
      <c r="AA44" s="79">
        <v>28911650</v>
      </c>
      <c r="AB44" s="79"/>
      <c r="AC44" s="79"/>
      <c r="AD44" s="79"/>
      <c r="AE44" s="77"/>
      <c r="AF44" s="77"/>
      <c r="AG44" s="77"/>
      <c r="AH44" s="77"/>
      <c r="AI44" s="77"/>
      <c r="AJ44" s="79"/>
      <c r="AK44" s="79"/>
      <c r="AL44" s="79"/>
      <c r="AM44" s="79"/>
      <c r="AN44" s="79"/>
      <c r="AO44" s="70"/>
      <c r="AP44" s="70"/>
      <c r="AQ44" s="70"/>
      <c r="AR44" s="70"/>
      <c r="AS44" s="70"/>
      <c r="AT44" s="79"/>
      <c r="AU44" s="79"/>
      <c r="AV44" s="79"/>
      <c r="AW44" s="79"/>
      <c r="AX44" s="79"/>
      <c r="AY44" s="68"/>
      <c r="AZ44" s="68"/>
      <c r="BA44" s="68"/>
      <c r="BB44" s="68"/>
      <c r="BC44" s="68"/>
      <c r="BD44" s="74" t="s">
        <v>264</v>
      </c>
      <c r="BE44" s="73">
        <v>45545</v>
      </c>
      <c r="BF44" s="74" t="s">
        <v>265</v>
      </c>
      <c r="BG44" s="74">
        <v>25758927</v>
      </c>
      <c r="BH44" s="74"/>
      <c r="BI44" s="74"/>
      <c r="BJ44" s="83"/>
    </row>
    <row r="45" spans="1:62" ht="33" customHeight="1" outlineLevel="1">
      <c r="A45" s="109"/>
      <c r="B45" s="109"/>
      <c r="C45" s="79">
        <v>55</v>
      </c>
      <c r="D45" s="79" t="s">
        <v>266</v>
      </c>
      <c r="E45" s="78">
        <v>45348</v>
      </c>
      <c r="F45" s="77" t="s">
        <v>267</v>
      </c>
      <c r="G45" s="77">
        <v>21999152</v>
      </c>
      <c r="H45" s="77" t="s">
        <v>268</v>
      </c>
      <c r="I45" s="77">
        <v>25768596</v>
      </c>
      <c r="J45" s="80">
        <v>45478</v>
      </c>
      <c r="K45" s="79" t="s">
        <v>269</v>
      </c>
      <c r="L45" s="79">
        <v>24513795</v>
      </c>
      <c r="M45" s="79" t="s">
        <v>270</v>
      </c>
      <c r="N45" s="79">
        <v>24648878</v>
      </c>
      <c r="O45" s="80">
        <v>45491</v>
      </c>
      <c r="P45" s="79" t="s">
        <v>271</v>
      </c>
      <c r="Q45" s="79">
        <v>24762679</v>
      </c>
      <c r="R45" s="78">
        <v>45559</v>
      </c>
      <c r="S45" s="77" t="s">
        <v>272</v>
      </c>
      <c r="T45" s="77">
        <v>26129041</v>
      </c>
      <c r="U45" s="77" t="s">
        <v>273</v>
      </c>
      <c r="V45" s="77">
        <v>28935635</v>
      </c>
      <c r="W45" s="80">
        <v>45559</v>
      </c>
      <c r="X45" s="79" t="s">
        <v>272</v>
      </c>
      <c r="Y45" s="79">
        <v>26129041</v>
      </c>
      <c r="Z45" s="79" t="s">
        <v>273</v>
      </c>
      <c r="AA45" s="79">
        <v>28935635</v>
      </c>
      <c r="AB45" s="79"/>
      <c r="AC45" s="79"/>
      <c r="AD45" s="79"/>
      <c r="AE45" s="77"/>
      <c r="AF45" s="77"/>
      <c r="AG45" s="77"/>
      <c r="AH45" s="77"/>
      <c r="AI45" s="77"/>
      <c r="AJ45" s="79"/>
      <c r="AK45" s="79"/>
      <c r="AL45" s="79"/>
      <c r="AM45" s="79"/>
      <c r="AN45" s="79"/>
      <c r="AO45" s="70"/>
      <c r="AP45" s="70"/>
      <c r="AQ45" s="70"/>
      <c r="AR45" s="70"/>
      <c r="AS45" s="70"/>
      <c r="AT45" s="79"/>
      <c r="AU45" s="79"/>
      <c r="AV45" s="79"/>
      <c r="AW45" s="79"/>
      <c r="AX45" s="79"/>
      <c r="AY45" s="68"/>
      <c r="AZ45" s="68"/>
      <c r="BA45" s="68"/>
      <c r="BB45" s="68"/>
      <c r="BC45" s="68"/>
      <c r="BD45" s="74" t="s">
        <v>274</v>
      </c>
      <c r="BE45" s="73">
        <v>45519</v>
      </c>
      <c r="BF45" s="74" t="s">
        <v>275</v>
      </c>
      <c r="BG45" s="74">
        <v>25215586</v>
      </c>
      <c r="BH45" s="74" t="s">
        <v>276</v>
      </c>
      <c r="BI45" s="74">
        <v>26323885</v>
      </c>
      <c r="BJ45" s="83"/>
    </row>
    <row r="46" spans="1:62" ht="33" customHeight="1" outlineLevel="1">
      <c r="A46" s="109"/>
      <c r="B46" s="109"/>
      <c r="C46" s="79">
        <v>56</v>
      </c>
      <c r="D46" s="79" t="s">
        <v>277</v>
      </c>
      <c r="E46" s="78">
        <v>45517</v>
      </c>
      <c r="F46" s="77" t="s">
        <v>278</v>
      </c>
      <c r="G46" s="77">
        <v>21999436</v>
      </c>
      <c r="H46" s="77" t="s">
        <v>279</v>
      </c>
      <c r="I46" s="77">
        <v>25556396</v>
      </c>
      <c r="J46" s="80">
        <v>45478</v>
      </c>
      <c r="K46" s="79" t="s">
        <v>280</v>
      </c>
      <c r="L46" s="79">
        <v>24515002</v>
      </c>
      <c r="M46" s="79" t="s">
        <v>281</v>
      </c>
      <c r="N46" s="79">
        <v>24650108</v>
      </c>
      <c r="O46" s="80">
        <v>45491</v>
      </c>
      <c r="P46" s="79" t="s">
        <v>282</v>
      </c>
      <c r="Q46" s="79">
        <v>24763256</v>
      </c>
      <c r="R46" s="78">
        <v>45642</v>
      </c>
      <c r="S46" s="77" t="s">
        <v>283</v>
      </c>
      <c r="T46" s="77">
        <v>28423773</v>
      </c>
      <c r="U46" s="77" t="s">
        <v>284</v>
      </c>
      <c r="V46" s="77">
        <v>28935375</v>
      </c>
      <c r="W46" s="80">
        <v>45546</v>
      </c>
      <c r="X46" s="79" t="s">
        <v>285</v>
      </c>
      <c r="Y46" s="79">
        <v>25798832</v>
      </c>
      <c r="Z46" s="79" t="s">
        <v>284</v>
      </c>
      <c r="AA46" s="79">
        <v>28935375</v>
      </c>
      <c r="AB46" s="79"/>
      <c r="AC46" s="79"/>
      <c r="AD46" s="79"/>
      <c r="AE46" s="77"/>
      <c r="AF46" s="77"/>
      <c r="AG46" s="77"/>
      <c r="AH46" s="77"/>
      <c r="AI46" s="77"/>
      <c r="AJ46" s="79"/>
      <c r="AK46" s="79"/>
      <c r="AL46" s="79"/>
      <c r="AM46" s="79"/>
      <c r="AN46" s="79"/>
      <c r="AO46" s="70"/>
      <c r="AP46" s="70"/>
      <c r="AQ46" s="70"/>
      <c r="AR46" s="70"/>
      <c r="AS46" s="70"/>
      <c r="AT46" s="79"/>
      <c r="AU46" s="79"/>
      <c r="AV46" s="79"/>
      <c r="AW46" s="79"/>
      <c r="AX46" s="79"/>
      <c r="AY46" s="68"/>
      <c r="AZ46" s="68"/>
      <c r="BA46" s="68"/>
      <c r="BB46" s="68"/>
      <c r="BC46" s="68"/>
      <c r="BD46" s="74" t="s">
        <v>286</v>
      </c>
      <c r="BE46" s="73">
        <v>45519</v>
      </c>
      <c r="BF46" s="74" t="s">
        <v>287</v>
      </c>
      <c r="BG46" s="74">
        <v>25216005</v>
      </c>
      <c r="BH46" s="74" t="s">
        <v>288</v>
      </c>
      <c r="BI46" s="74">
        <v>26537838</v>
      </c>
      <c r="BJ46" s="83"/>
    </row>
    <row r="47" spans="1:62" ht="33" customHeight="1" outlineLevel="1">
      <c r="A47" s="109"/>
      <c r="B47" s="109">
        <v>5</v>
      </c>
      <c r="C47" s="79">
        <v>57</v>
      </c>
      <c r="D47" s="79" t="s">
        <v>289</v>
      </c>
      <c r="E47" s="78">
        <v>45733</v>
      </c>
      <c r="F47" s="77" t="s">
        <v>290</v>
      </c>
      <c r="G47" s="77">
        <v>30577401</v>
      </c>
      <c r="H47" s="77" t="s">
        <v>291</v>
      </c>
      <c r="I47" s="77">
        <v>32516780</v>
      </c>
      <c r="J47" s="80">
        <v>45825</v>
      </c>
      <c r="K47" s="79" t="s">
        <v>292</v>
      </c>
      <c r="L47" s="79">
        <v>33116644</v>
      </c>
      <c r="M47" s="79"/>
      <c r="N47" s="79"/>
      <c r="O47" s="80"/>
      <c r="P47" s="79"/>
      <c r="Q47" s="79"/>
      <c r="R47" s="78">
        <v>45826</v>
      </c>
      <c r="S47" s="77" t="s">
        <v>293</v>
      </c>
      <c r="T47" s="77">
        <v>33165897</v>
      </c>
      <c r="U47" s="77"/>
      <c r="V47" s="77"/>
      <c r="W47" s="80">
        <v>45925</v>
      </c>
      <c r="X47" s="79" t="s">
        <v>294</v>
      </c>
      <c r="Y47" s="79">
        <v>35999420</v>
      </c>
      <c r="Z47" s="79" t="s">
        <v>295</v>
      </c>
      <c r="AA47" s="79" t="s">
        <v>296</v>
      </c>
      <c r="AB47" s="79"/>
      <c r="AC47" s="79"/>
      <c r="AD47" s="79"/>
      <c r="AE47" s="77"/>
      <c r="AF47" s="77"/>
      <c r="AG47" s="77"/>
      <c r="AH47" s="77"/>
      <c r="AI47" s="77"/>
      <c r="AJ47" s="79"/>
      <c r="AK47" s="79"/>
      <c r="AL47" s="79"/>
      <c r="AM47" s="79"/>
      <c r="AN47" s="79"/>
      <c r="AO47" s="70"/>
      <c r="AP47" s="70"/>
      <c r="AQ47" s="70"/>
      <c r="AR47" s="70"/>
      <c r="AS47" s="70"/>
      <c r="AT47" s="79"/>
      <c r="AU47" s="79"/>
      <c r="AV47" s="79"/>
      <c r="AW47" s="79"/>
      <c r="AX47" s="79"/>
      <c r="AY47" s="68"/>
      <c r="AZ47" s="68"/>
      <c r="BA47" s="68"/>
      <c r="BB47" s="68"/>
      <c r="BC47" s="68"/>
      <c r="BD47" s="74"/>
      <c r="BE47" s="73"/>
      <c r="BF47" s="74"/>
      <c r="BG47" s="74"/>
      <c r="BH47" s="74"/>
      <c r="BI47" s="74"/>
      <c r="BJ47" s="83"/>
    </row>
    <row r="48" spans="1:62" ht="33" customHeight="1" outlineLevel="1">
      <c r="A48" s="109"/>
      <c r="B48" s="109"/>
      <c r="C48" s="79">
        <v>58</v>
      </c>
      <c r="D48" s="79" t="s">
        <v>297</v>
      </c>
      <c r="E48" s="78">
        <v>45730</v>
      </c>
      <c r="F48" s="77" t="s">
        <v>298</v>
      </c>
      <c r="G48" s="77">
        <v>30544250</v>
      </c>
      <c r="H48" s="77" t="s">
        <v>299</v>
      </c>
      <c r="I48" s="77">
        <v>33372424</v>
      </c>
      <c r="J48" s="80">
        <v>45825</v>
      </c>
      <c r="K48" s="79" t="s">
        <v>300</v>
      </c>
      <c r="L48" s="79">
        <v>33116715</v>
      </c>
      <c r="M48" s="79"/>
      <c r="N48" s="79"/>
      <c r="O48" s="80"/>
      <c r="P48" s="79"/>
      <c r="Q48" s="79"/>
      <c r="R48" s="78"/>
      <c r="S48" s="77"/>
      <c r="T48" s="77"/>
      <c r="U48" s="77"/>
      <c r="V48" s="77"/>
      <c r="W48" s="80"/>
      <c r="X48" s="79"/>
      <c r="Y48" s="79"/>
      <c r="Z48" s="79"/>
      <c r="AA48" s="79"/>
      <c r="AB48" s="79"/>
      <c r="AC48" s="79"/>
      <c r="AD48" s="79"/>
      <c r="AE48" s="77"/>
      <c r="AF48" s="77"/>
      <c r="AG48" s="77"/>
      <c r="AH48" s="77"/>
      <c r="AI48" s="77"/>
      <c r="AJ48" s="79"/>
      <c r="AK48" s="79"/>
      <c r="AL48" s="79"/>
      <c r="AM48" s="79"/>
      <c r="AN48" s="79"/>
      <c r="AO48" s="70"/>
      <c r="AP48" s="70"/>
      <c r="AQ48" s="70"/>
      <c r="AR48" s="70"/>
      <c r="AS48" s="70"/>
      <c r="AT48" s="79"/>
      <c r="AU48" s="79"/>
      <c r="AV48" s="79"/>
      <c r="AW48" s="79"/>
      <c r="AX48" s="79"/>
      <c r="AY48" s="68"/>
      <c r="AZ48" s="68"/>
      <c r="BA48" s="68"/>
      <c r="BB48" s="68"/>
      <c r="BC48" s="68"/>
      <c r="BD48" s="74"/>
      <c r="BE48" s="73"/>
      <c r="BF48" s="74"/>
      <c r="BG48" s="74"/>
      <c r="BH48" s="74"/>
      <c r="BI48" s="74"/>
      <c r="BJ48" s="83"/>
    </row>
    <row r="49" spans="1:62" ht="33">
      <c r="A49" s="109" t="s">
        <v>301</v>
      </c>
      <c r="B49" s="109">
        <v>2</v>
      </c>
      <c r="C49" s="79" t="s">
        <v>302</v>
      </c>
      <c r="D49" s="79" t="s">
        <v>303</v>
      </c>
      <c r="E49" s="78">
        <v>45071</v>
      </c>
      <c r="F49" s="77" t="s">
        <v>304</v>
      </c>
      <c r="G49" s="77">
        <v>17003743</v>
      </c>
      <c r="H49" s="77" t="s">
        <v>110</v>
      </c>
      <c r="I49" s="77" t="s">
        <v>110</v>
      </c>
      <c r="J49" s="79" t="s">
        <v>110</v>
      </c>
      <c r="K49" s="79" t="s">
        <v>110</v>
      </c>
      <c r="L49" s="79" t="s">
        <v>110</v>
      </c>
      <c r="M49" s="79" t="s">
        <v>110</v>
      </c>
      <c r="N49" s="79" t="s">
        <v>110</v>
      </c>
      <c r="O49" s="79"/>
      <c r="P49" s="79"/>
      <c r="Q49" s="79"/>
      <c r="R49" s="77" t="s">
        <v>110</v>
      </c>
      <c r="S49" s="77" t="s">
        <v>110</v>
      </c>
      <c r="T49" s="77" t="s">
        <v>110</v>
      </c>
      <c r="U49" s="77" t="s">
        <v>110</v>
      </c>
      <c r="V49" s="77" t="s">
        <v>110</v>
      </c>
      <c r="W49" s="79" t="s">
        <v>110</v>
      </c>
      <c r="X49" s="79" t="s">
        <v>110</v>
      </c>
      <c r="Y49" s="79" t="s">
        <v>110</v>
      </c>
      <c r="Z49" s="79" t="s">
        <v>110</v>
      </c>
      <c r="AA49" s="79" t="s">
        <v>110</v>
      </c>
      <c r="AB49" s="79" t="s">
        <v>110</v>
      </c>
      <c r="AC49" s="79" t="s">
        <v>110</v>
      </c>
      <c r="AD49" s="79" t="s">
        <v>110</v>
      </c>
      <c r="AE49" s="77" t="s">
        <v>110</v>
      </c>
      <c r="AF49" s="77" t="s">
        <v>110</v>
      </c>
      <c r="AG49" s="77" t="s">
        <v>110</v>
      </c>
      <c r="AH49" s="77" t="s">
        <v>110</v>
      </c>
      <c r="AI49" s="77" t="s">
        <v>110</v>
      </c>
      <c r="AJ49" s="79" t="s">
        <v>110</v>
      </c>
      <c r="AK49" s="79" t="s">
        <v>110</v>
      </c>
      <c r="AL49" s="79" t="s">
        <v>110</v>
      </c>
      <c r="AM49" s="79" t="s">
        <v>110</v>
      </c>
      <c r="AN49" s="79" t="s">
        <v>110</v>
      </c>
      <c r="AO49" s="69">
        <v>45408</v>
      </c>
      <c r="AP49" s="70" t="s">
        <v>305</v>
      </c>
      <c r="AQ49" s="70">
        <v>23131202</v>
      </c>
      <c r="AR49" s="70" t="s">
        <v>110</v>
      </c>
      <c r="AS49" s="70" t="s">
        <v>110</v>
      </c>
      <c r="AT49" s="79"/>
      <c r="AU49" s="79"/>
      <c r="AV49" s="79"/>
      <c r="AW49" s="79"/>
      <c r="AX49" s="79"/>
      <c r="AY49" s="68"/>
      <c r="AZ49" s="68"/>
      <c r="BA49" s="68"/>
      <c r="BB49" s="68"/>
      <c r="BC49" s="68"/>
      <c r="BD49" s="74"/>
      <c r="BE49" s="74"/>
      <c r="BF49" s="74"/>
      <c r="BG49" s="74"/>
      <c r="BH49" s="74"/>
      <c r="BI49" s="74"/>
      <c r="BJ49" s="83"/>
    </row>
    <row r="50" spans="1:62" ht="33">
      <c r="A50" s="109"/>
      <c r="B50" s="109"/>
      <c r="C50" s="79" t="s">
        <v>306</v>
      </c>
      <c r="D50" s="79" t="s">
        <v>303</v>
      </c>
      <c r="E50" s="78">
        <v>45071</v>
      </c>
      <c r="F50" s="77" t="s">
        <v>304</v>
      </c>
      <c r="G50" s="77">
        <v>17003743</v>
      </c>
      <c r="H50" s="77" t="s">
        <v>110</v>
      </c>
      <c r="I50" s="77" t="s">
        <v>110</v>
      </c>
      <c r="J50" s="79" t="s">
        <v>110</v>
      </c>
      <c r="K50" s="79" t="s">
        <v>110</v>
      </c>
      <c r="L50" s="79" t="s">
        <v>110</v>
      </c>
      <c r="M50" s="79" t="s">
        <v>110</v>
      </c>
      <c r="N50" s="79" t="s">
        <v>110</v>
      </c>
      <c r="O50" s="79"/>
      <c r="P50" s="79"/>
      <c r="Q50" s="79"/>
      <c r="R50" s="77" t="s">
        <v>110</v>
      </c>
      <c r="S50" s="77" t="s">
        <v>110</v>
      </c>
      <c r="T50" s="77" t="s">
        <v>110</v>
      </c>
      <c r="U50" s="77" t="s">
        <v>110</v>
      </c>
      <c r="V50" s="77" t="s">
        <v>110</v>
      </c>
      <c r="W50" s="79" t="s">
        <v>110</v>
      </c>
      <c r="X50" s="79" t="s">
        <v>110</v>
      </c>
      <c r="Y50" s="79" t="s">
        <v>110</v>
      </c>
      <c r="Z50" s="79" t="s">
        <v>110</v>
      </c>
      <c r="AA50" s="79" t="s">
        <v>110</v>
      </c>
      <c r="AB50" s="79" t="s">
        <v>110</v>
      </c>
      <c r="AC50" s="79" t="s">
        <v>110</v>
      </c>
      <c r="AD50" s="79" t="s">
        <v>110</v>
      </c>
      <c r="AE50" s="77" t="s">
        <v>110</v>
      </c>
      <c r="AF50" s="77" t="s">
        <v>110</v>
      </c>
      <c r="AG50" s="77" t="s">
        <v>110</v>
      </c>
      <c r="AH50" s="77" t="s">
        <v>110</v>
      </c>
      <c r="AI50" s="77" t="s">
        <v>110</v>
      </c>
      <c r="AJ50" s="79" t="s">
        <v>110</v>
      </c>
      <c r="AK50" s="79" t="s">
        <v>110</v>
      </c>
      <c r="AL50" s="79" t="s">
        <v>110</v>
      </c>
      <c r="AM50" s="79" t="s">
        <v>110</v>
      </c>
      <c r="AN50" s="79" t="s">
        <v>110</v>
      </c>
      <c r="AO50" s="69">
        <v>45408</v>
      </c>
      <c r="AP50" s="70" t="s">
        <v>307</v>
      </c>
      <c r="AQ50" s="70">
        <v>23131392</v>
      </c>
      <c r="AR50" s="70" t="s">
        <v>110</v>
      </c>
      <c r="AS50" s="70" t="s">
        <v>110</v>
      </c>
      <c r="AT50" s="79"/>
      <c r="AU50" s="79"/>
      <c r="AV50" s="79"/>
      <c r="AW50" s="79"/>
      <c r="AX50" s="79"/>
      <c r="AY50" s="68"/>
      <c r="AZ50" s="68"/>
      <c r="BA50" s="68"/>
      <c r="BB50" s="68"/>
      <c r="BC50" s="68"/>
      <c r="BD50" s="74"/>
      <c r="BE50" s="74"/>
      <c r="BF50" s="74"/>
      <c r="BG50" s="74"/>
      <c r="BH50" s="74"/>
      <c r="BI50" s="74"/>
      <c r="BJ50" s="83"/>
    </row>
    <row r="51" spans="1:62" ht="58.5">
      <c r="A51" s="76" t="s">
        <v>308</v>
      </c>
      <c r="B51" s="76">
        <v>2</v>
      </c>
      <c r="C51" s="79" t="s">
        <v>309</v>
      </c>
      <c r="D51" s="79" t="s">
        <v>310</v>
      </c>
      <c r="E51" s="78">
        <v>45309</v>
      </c>
      <c r="F51" s="77" t="s">
        <v>311</v>
      </c>
      <c r="G51" s="77">
        <v>21460934</v>
      </c>
      <c r="H51" s="77" t="s">
        <v>312</v>
      </c>
      <c r="I51" s="77">
        <v>24986071</v>
      </c>
      <c r="J51" s="79" t="s">
        <v>313</v>
      </c>
      <c r="K51" s="79" t="s">
        <v>314</v>
      </c>
      <c r="L51" s="79">
        <v>24725832</v>
      </c>
      <c r="M51" s="79" t="s">
        <v>315</v>
      </c>
      <c r="N51" s="79">
        <v>25462707</v>
      </c>
      <c r="O51" s="79" t="s">
        <v>110</v>
      </c>
      <c r="P51" s="79" t="s">
        <v>110</v>
      </c>
      <c r="Q51" s="79" t="s">
        <v>110</v>
      </c>
      <c r="R51" s="78">
        <v>45532</v>
      </c>
      <c r="S51" s="77" t="s">
        <v>316</v>
      </c>
      <c r="T51" s="77">
        <v>25464671</v>
      </c>
      <c r="U51" s="77" t="s">
        <v>110</v>
      </c>
      <c r="V51" s="77" t="s">
        <v>110</v>
      </c>
      <c r="W51" s="80">
        <v>45548</v>
      </c>
      <c r="X51" s="79" t="s">
        <v>317</v>
      </c>
      <c r="Y51" s="79">
        <v>25850316</v>
      </c>
      <c r="Z51" s="79" t="s">
        <v>318</v>
      </c>
      <c r="AA51" s="79">
        <v>26522542</v>
      </c>
      <c r="AB51" s="79" t="s">
        <v>110</v>
      </c>
      <c r="AC51" s="79" t="s">
        <v>110</v>
      </c>
      <c r="AD51" s="79" t="s">
        <v>110</v>
      </c>
      <c r="AE51" s="78">
        <v>45559</v>
      </c>
      <c r="AF51" s="77" t="s">
        <v>319</v>
      </c>
      <c r="AG51" s="77">
        <v>26136774</v>
      </c>
      <c r="AH51" s="77" t="s">
        <v>110</v>
      </c>
      <c r="AI51" s="77" t="s">
        <v>110</v>
      </c>
      <c r="AJ51" s="93"/>
      <c r="AK51" s="23"/>
      <c r="AL51" s="23"/>
      <c r="AM51" s="79" t="s">
        <v>320</v>
      </c>
      <c r="AN51" s="79">
        <v>36729495</v>
      </c>
      <c r="AO51" s="70"/>
      <c r="AP51" s="70"/>
      <c r="AQ51" s="70"/>
      <c r="AR51" s="70"/>
      <c r="AS51" s="70"/>
      <c r="AT51" s="79"/>
      <c r="AU51" s="79"/>
      <c r="AV51" s="79"/>
      <c r="AW51" s="79"/>
      <c r="AX51" s="79"/>
      <c r="AY51" s="68"/>
      <c r="AZ51" s="68"/>
      <c r="BA51" s="68"/>
      <c r="BB51" s="68"/>
      <c r="BC51" s="68"/>
      <c r="BD51" s="74"/>
      <c r="BE51" s="74"/>
      <c r="BF51" s="74"/>
      <c r="BG51" s="74"/>
      <c r="BH51" s="74"/>
      <c r="BI51" s="74"/>
      <c r="BJ51" s="83"/>
    </row>
    <row r="52" spans="1:62" ht="33">
      <c r="A52" s="109" t="s">
        <v>321</v>
      </c>
      <c r="B52" s="109">
        <v>2</v>
      </c>
      <c r="C52" s="79" t="s">
        <v>322</v>
      </c>
      <c r="D52" s="79" t="s">
        <v>323</v>
      </c>
      <c r="E52" s="78">
        <v>45222</v>
      </c>
      <c r="F52" s="77" t="s">
        <v>324</v>
      </c>
      <c r="G52" s="77">
        <v>19731567</v>
      </c>
      <c r="H52" s="77" t="s">
        <v>325</v>
      </c>
      <c r="I52" s="77">
        <v>21663871</v>
      </c>
      <c r="J52" s="79" t="s">
        <v>110</v>
      </c>
      <c r="K52" s="79" t="s">
        <v>110</v>
      </c>
      <c r="L52" s="79" t="s">
        <v>110</v>
      </c>
      <c r="M52" s="79" t="s">
        <v>110</v>
      </c>
      <c r="N52" s="79" t="s">
        <v>110</v>
      </c>
      <c r="O52" s="79" t="s">
        <v>110</v>
      </c>
      <c r="P52" s="79" t="s">
        <v>110</v>
      </c>
      <c r="Q52" s="79" t="s">
        <v>110</v>
      </c>
      <c r="R52" s="78">
        <v>45390</v>
      </c>
      <c r="S52" s="77" t="s">
        <v>326</v>
      </c>
      <c r="T52" s="77">
        <v>22739964</v>
      </c>
      <c r="U52" s="77" t="s">
        <v>110</v>
      </c>
      <c r="V52" s="77" t="s">
        <v>110</v>
      </c>
      <c r="W52" s="80">
        <v>45390</v>
      </c>
      <c r="X52" s="79" t="s">
        <v>326</v>
      </c>
      <c r="Y52" s="79">
        <v>22739964</v>
      </c>
      <c r="Z52" s="79" t="s">
        <v>327</v>
      </c>
      <c r="AA52" s="79">
        <v>23036317</v>
      </c>
      <c r="AB52" s="80">
        <v>45444</v>
      </c>
      <c r="AC52" s="79" t="s">
        <v>328</v>
      </c>
      <c r="AD52" s="79">
        <v>23581199</v>
      </c>
      <c r="AE52" s="77"/>
      <c r="AF52" s="77"/>
      <c r="AG52" s="77"/>
      <c r="AH52" s="77"/>
      <c r="AI52" s="77"/>
      <c r="AJ52" s="80">
        <v>45556</v>
      </c>
      <c r="AK52" s="79" t="s">
        <v>329</v>
      </c>
      <c r="AL52" s="79">
        <v>26141117</v>
      </c>
      <c r="AM52" s="79"/>
      <c r="AN52" s="79"/>
      <c r="AO52" s="70"/>
      <c r="AP52" s="70"/>
      <c r="AQ52" s="70"/>
      <c r="AR52" s="70"/>
      <c r="AS52" s="70"/>
      <c r="AT52" s="79"/>
      <c r="AU52" s="79"/>
      <c r="AV52" s="79"/>
      <c r="AW52" s="79"/>
      <c r="AX52" s="79"/>
      <c r="AY52" s="68"/>
      <c r="AZ52" s="68"/>
      <c r="BA52" s="68"/>
      <c r="BB52" s="68"/>
      <c r="BC52" s="68"/>
      <c r="BD52" s="74"/>
      <c r="BE52" s="74"/>
      <c r="BF52" s="74"/>
      <c r="BG52" s="74"/>
      <c r="BH52" s="74"/>
      <c r="BI52" s="74"/>
      <c r="BJ52" s="83"/>
    </row>
    <row r="53" spans="1:62" ht="33" outlineLevel="1">
      <c r="A53" s="109"/>
      <c r="B53" s="109"/>
      <c r="C53" s="79" t="s">
        <v>330</v>
      </c>
      <c r="D53" s="79" t="s">
        <v>331</v>
      </c>
      <c r="E53" s="78">
        <v>45189</v>
      </c>
      <c r="F53" s="77" t="s">
        <v>332</v>
      </c>
      <c r="G53" s="77">
        <v>19066236</v>
      </c>
      <c r="H53" s="77" t="s">
        <v>333</v>
      </c>
      <c r="I53" s="77">
        <v>21608519</v>
      </c>
      <c r="J53" s="79" t="s">
        <v>110</v>
      </c>
      <c r="K53" s="79" t="s">
        <v>110</v>
      </c>
      <c r="L53" s="79" t="s">
        <v>110</v>
      </c>
      <c r="M53" s="79" t="s">
        <v>110</v>
      </c>
      <c r="N53" s="79" t="s">
        <v>110</v>
      </c>
      <c r="O53" s="79"/>
      <c r="P53" s="79"/>
      <c r="Q53" s="79"/>
      <c r="R53" s="78">
        <v>45391</v>
      </c>
      <c r="S53" s="77" t="s">
        <v>334</v>
      </c>
      <c r="T53" s="77">
        <v>22772370</v>
      </c>
      <c r="U53" s="77" t="s">
        <v>110</v>
      </c>
      <c r="V53" s="77" t="s">
        <v>110</v>
      </c>
      <c r="W53" s="80">
        <v>45391</v>
      </c>
      <c r="X53" s="79" t="s">
        <v>335</v>
      </c>
      <c r="Y53" s="79">
        <v>22772370</v>
      </c>
      <c r="Z53" s="79" t="s">
        <v>336</v>
      </c>
      <c r="AA53" s="79">
        <v>23038503</v>
      </c>
      <c r="AB53" s="80">
        <v>45414</v>
      </c>
      <c r="AC53" s="79" t="s">
        <v>337</v>
      </c>
      <c r="AD53" s="79">
        <v>23355023</v>
      </c>
      <c r="AE53" s="77"/>
      <c r="AF53" s="77"/>
      <c r="AG53" s="77"/>
      <c r="AH53" s="77"/>
      <c r="AI53" s="77"/>
      <c r="AJ53" s="79"/>
      <c r="AK53" s="79"/>
      <c r="AL53" s="79"/>
      <c r="AM53" s="79"/>
      <c r="AN53" s="79"/>
      <c r="AO53" s="70"/>
      <c r="AP53" s="70"/>
      <c r="AQ53" s="70"/>
      <c r="AR53" s="70"/>
      <c r="AS53" s="70"/>
      <c r="AT53" s="79"/>
      <c r="AU53" s="79"/>
      <c r="AV53" s="79"/>
      <c r="AW53" s="79"/>
      <c r="AX53" s="79"/>
      <c r="AY53" s="68"/>
      <c r="AZ53" s="68"/>
      <c r="BA53" s="68"/>
      <c r="BB53" s="68"/>
      <c r="BC53" s="68"/>
      <c r="BD53" s="74"/>
      <c r="BE53" s="74"/>
      <c r="BF53" s="74"/>
      <c r="BG53" s="74"/>
      <c r="BH53" s="74"/>
      <c r="BI53" s="74"/>
      <c r="BJ53" s="83"/>
    </row>
    <row r="54" spans="1:62" ht="33">
      <c r="A54" s="109" t="s">
        <v>338</v>
      </c>
      <c r="B54" s="109">
        <v>2</v>
      </c>
      <c r="C54" s="79" t="s">
        <v>339</v>
      </c>
      <c r="D54" s="79" t="s">
        <v>340</v>
      </c>
      <c r="E54" s="78">
        <v>45210</v>
      </c>
      <c r="F54" s="77" t="s">
        <v>341</v>
      </c>
      <c r="G54" s="77">
        <v>19484175</v>
      </c>
      <c r="H54" s="77" t="s">
        <v>342</v>
      </c>
      <c r="I54" s="77">
        <v>21216816</v>
      </c>
      <c r="J54" s="79" t="s">
        <v>110</v>
      </c>
      <c r="K54" s="79" t="s">
        <v>110</v>
      </c>
      <c r="L54" s="79" t="s">
        <v>110</v>
      </c>
      <c r="M54" s="79" t="s">
        <v>110</v>
      </c>
      <c r="N54" s="79" t="s">
        <v>110</v>
      </c>
      <c r="O54" s="79" t="s">
        <v>110</v>
      </c>
      <c r="P54" s="79" t="s">
        <v>110</v>
      </c>
      <c r="Q54" s="79" t="s">
        <v>110</v>
      </c>
      <c r="R54" s="78">
        <v>45412</v>
      </c>
      <c r="S54" s="77" t="s">
        <v>343</v>
      </c>
      <c r="T54" s="77">
        <v>23198563</v>
      </c>
      <c r="U54" s="77" t="s">
        <v>110</v>
      </c>
      <c r="V54" s="77" t="s">
        <v>110</v>
      </c>
      <c r="W54" s="80">
        <v>45412</v>
      </c>
      <c r="X54" s="79" t="s">
        <v>343</v>
      </c>
      <c r="Y54" s="79">
        <v>23198563</v>
      </c>
      <c r="Z54" s="79" t="s">
        <v>344</v>
      </c>
      <c r="AA54" s="79">
        <v>23415400</v>
      </c>
      <c r="AB54" s="80">
        <v>45428</v>
      </c>
      <c r="AC54" s="79" t="s">
        <v>345</v>
      </c>
      <c r="AD54" s="79">
        <v>23517213</v>
      </c>
      <c r="AE54" s="78">
        <v>45727</v>
      </c>
      <c r="AF54" s="77" t="s">
        <v>346</v>
      </c>
      <c r="AG54" s="77">
        <v>30443596</v>
      </c>
      <c r="AH54" s="77"/>
      <c r="AI54" s="77"/>
      <c r="AJ54" s="80">
        <v>45638</v>
      </c>
      <c r="AK54" s="79" t="s">
        <v>347</v>
      </c>
      <c r="AL54" s="79">
        <v>28337662</v>
      </c>
      <c r="AM54" s="79"/>
      <c r="AN54" s="79"/>
      <c r="AO54" s="69">
        <v>45734</v>
      </c>
      <c r="AP54" s="70" t="s">
        <v>348</v>
      </c>
      <c r="AQ54" s="70">
        <v>30636525</v>
      </c>
      <c r="AR54" s="70"/>
      <c r="AS54" s="70"/>
      <c r="AT54" s="80">
        <v>45734</v>
      </c>
      <c r="AU54" s="79" t="s">
        <v>348</v>
      </c>
      <c r="AV54" s="79">
        <v>30636525</v>
      </c>
      <c r="AW54" s="79"/>
      <c r="AX54" s="79"/>
      <c r="AY54" s="68"/>
      <c r="AZ54" s="68"/>
      <c r="BA54" s="68"/>
      <c r="BB54" s="68"/>
      <c r="BC54" s="68"/>
      <c r="BD54" s="74"/>
      <c r="BE54" s="74"/>
      <c r="BF54" s="74"/>
      <c r="BG54" s="74"/>
      <c r="BH54" s="74"/>
      <c r="BI54" s="74"/>
      <c r="BJ54" s="83"/>
    </row>
    <row r="55" spans="1:62" ht="33" hidden="1" outlineLevel="1">
      <c r="A55" s="109"/>
      <c r="B55" s="109"/>
      <c r="C55" s="79" t="s">
        <v>349</v>
      </c>
      <c r="D55" s="79" t="s">
        <v>350</v>
      </c>
      <c r="E55" s="78">
        <v>45210</v>
      </c>
      <c r="F55" s="77" t="s">
        <v>351</v>
      </c>
      <c r="G55" s="77">
        <v>19484869</v>
      </c>
      <c r="H55" s="77" t="s">
        <v>352</v>
      </c>
      <c r="I55" s="77">
        <v>20779355</v>
      </c>
      <c r="J55" s="79" t="s">
        <v>110</v>
      </c>
      <c r="K55" s="79" t="s">
        <v>110</v>
      </c>
      <c r="L55" s="79" t="s">
        <v>110</v>
      </c>
      <c r="M55" s="79" t="s">
        <v>110</v>
      </c>
      <c r="N55" s="79" t="s">
        <v>110</v>
      </c>
      <c r="O55" s="79" t="s">
        <v>110</v>
      </c>
      <c r="P55" s="79" t="s">
        <v>110</v>
      </c>
      <c r="Q55" s="79" t="s">
        <v>110</v>
      </c>
      <c r="R55" s="78">
        <v>45412</v>
      </c>
      <c r="S55" s="77" t="s">
        <v>353</v>
      </c>
      <c r="T55" s="77">
        <v>23203156</v>
      </c>
      <c r="U55" s="77" t="s">
        <v>110</v>
      </c>
      <c r="V55" s="77" t="s">
        <v>110</v>
      </c>
      <c r="W55" s="80">
        <v>45412</v>
      </c>
      <c r="X55" s="79" t="s">
        <v>353</v>
      </c>
      <c r="Y55" s="79">
        <v>23203156</v>
      </c>
      <c r="Z55" s="79" t="s">
        <v>354</v>
      </c>
      <c r="AA55" s="79">
        <v>23417622</v>
      </c>
      <c r="AB55" s="80">
        <v>45429</v>
      </c>
      <c r="AC55" s="79" t="s">
        <v>355</v>
      </c>
      <c r="AD55" s="79">
        <v>23517148</v>
      </c>
      <c r="AE55" s="78">
        <v>45727</v>
      </c>
      <c r="AF55" s="77" t="s">
        <v>356</v>
      </c>
      <c r="AG55" s="77">
        <v>30443399</v>
      </c>
      <c r="AH55" s="77"/>
      <c r="AI55" s="77"/>
      <c r="AJ55" s="80">
        <v>45638</v>
      </c>
      <c r="AK55" s="79" t="s">
        <v>357</v>
      </c>
      <c r="AL55" s="79">
        <v>28337814</v>
      </c>
      <c r="AM55" s="79"/>
      <c r="AN55" s="79"/>
      <c r="AO55" s="69">
        <v>45734</v>
      </c>
      <c r="AP55" s="70" t="s">
        <v>358</v>
      </c>
      <c r="AQ55" s="70">
        <v>30635814</v>
      </c>
      <c r="AR55" s="70"/>
      <c r="AS55" s="70"/>
      <c r="AT55" s="80">
        <v>45734</v>
      </c>
      <c r="AU55" s="79" t="s">
        <v>358</v>
      </c>
      <c r="AV55" s="79">
        <v>30635814</v>
      </c>
      <c r="AW55" s="79"/>
      <c r="AX55" s="79"/>
      <c r="AY55" s="68"/>
      <c r="AZ55" s="68"/>
      <c r="BA55" s="68"/>
      <c r="BB55" s="68"/>
      <c r="BC55" s="68"/>
      <c r="BD55" s="74"/>
      <c r="BE55" s="74"/>
      <c r="BF55" s="74"/>
      <c r="BG55" s="74"/>
      <c r="BH55" s="74"/>
      <c r="BI55" s="74"/>
      <c r="BJ55" s="83"/>
    </row>
    <row r="56" spans="1:62" ht="33" hidden="1" outlineLevel="1">
      <c r="A56" s="109"/>
      <c r="B56" s="109"/>
      <c r="C56" s="79" t="s">
        <v>359</v>
      </c>
      <c r="D56" s="79" t="s">
        <v>360</v>
      </c>
      <c r="E56" s="78">
        <v>45210</v>
      </c>
      <c r="F56" s="77" t="s">
        <v>361</v>
      </c>
      <c r="G56" s="77">
        <v>19483577</v>
      </c>
      <c r="H56" s="77" t="s">
        <v>362</v>
      </c>
      <c r="I56" s="77">
        <v>20287002</v>
      </c>
      <c r="J56" s="79" t="s">
        <v>110</v>
      </c>
      <c r="K56" s="79" t="s">
        <v>110</v>
      </c>
      <c r="L56" s="79" t="s">
        <v>110</v>
      </c>
      <c r="M56" s="79" t="s">
        <v>110</v>
      </c>
      <c r="N56" s="79" t="s">
        <v>110</v>
      </c>
      <c r="O56" s="79" t="s">
        <v>110</v>
      </c>
      <c r="P56" s="79" t="s">
        <v>110</v>
      </c>
      <c r="Q56" s="79" t="s">
        <v>110</v>
      </c>
      <c r="R56" s="78">
        <v>45412</v>
      </c>
      <c r="S56" s="77" t="s">
        <v>363</v>
      </c>
      <c r="T56" s="77">
        <v>23203295</v>
      </c>
      <c r="U56" s="77" t="s">
        <v>110</v>
      </c>
      <c r="V56" s="77" t="s">
        <v>110</v>
      </c>
      <c r="W56" s="80">
        <v>45412</v>
      </c>
      <c r="X56" s="79" t="s">
        <v>363</v>
      </c>
      <c r="Y56" s="79">
        <v>23203295</v>
      </c>
      <c r="Z56" s="79" t="s">
        <v>364</v>
      </c>
      <c r="AA56" s="79">
        <v>23420075</v>
      </c>
      <c r="AB56" s="80">
        <v>45427</v>
      </c>
      <c r="AC56" s="79" t="s">
        <v>365</v>
      </c>
      <c r="AD56" s="79">
        <v>23517127</v>
      </c>
      <c r="AE56" s="78">
        <v>45729</v>
      </c>
      <c r="AF56" s="77" t="s">
        <v>366</v>
      </c>
      <c r="AG56" s="77">
        <v>30515577</v>
      </c>
      <c r="AH56" s="77"/>
      <c r="AI56" s="77"/>
      <c r="AJ56" s="80">
        <v>45638</v>
      </c>
      <c r="AK56" s="79" t="s">
        <v>367</v>
      </c>
      <c r="AL56" s="79">
        <v>28337898</v>
      </c>
      <c r="AM56" s="79"/>
      <c r="AN56" s="79"/>
      <c r="AO56" s="69">
        <v>45734</v>
      </c>
      <c r="AP56" s="70" t="s">
        <v>368</v>
      </c>
      <c r="AQ56" s="70">
        <v>30639975</v>
      </c>
      <c r="AR56" s="70"/>
      <c r="AS56" s="70"/>
      <c r="AT56" s="80">
        <v>45734</v>
      </c>
      <c r="AU56" s="79" t="s">
        <v>368</v>
      </c>
      <c r="AV56" s="79">
        <v>30639975</v>
      </c>
      <c r="AW56" s="79"/>
      <c r="AX56" s="79"/>
      <c r="AY56" s="68"/>
      <c r="AZ56" s="68"/>
      <c r="BA56" s="68"/>
      <c r="BB56" s="68"/>
      <c r="BC56" s="68"/>
      <c r="BD56" s="74"/>
      <c r="BE56" s="74"/>
      <c r="BF56" s="74"/>
      <c r="BG56" s="74"/>
      <c r="BH56" s="74"/>
      <c r="BI56" s="74"/>
      <c r="BJ56" s="83"/>
    </row>
    <row r="57" spans="1:62" ht="33" hidden="1" outlineLevel="1">
      <c r="A57" s="109"/>
      <c r="B57" s="109"/>
      <c r="C57" s="79" t="s">
        <v>369</v>
      </c>
      <c r="D57" s="79" t="s">
        <v>370</v>
      </c>
      <c r="E57" s="78">
        <v>45210</v>
      </c>
      <c r="F57" s="77" t="s">
        <v>371</v>
      </c>
      <c r="G57" s="77">
        <v>19483791</v>
      </c>
      <c r="H57" s="77" t="s">
        <v>372</v>
      </c>
      <c r="I57" s="77">
        <v>20796732</v>
      </c>
      <c r="J57" s="79" t="s">
        <v>110</v>
      </c>
      <c r="K57" s="79" t="s">
        <v>110</v>
      </c>
      <c r="L57" s="79" t="s">
        <v>110</v>
      </c>
      <c r="M57" s="79" t="s">
        <v>110</v>
      </c>
      <c r="N57" s="79" t="s">
        <v>110</v>
      </c>
      <c r="O57" s="79" t="s">
        <v>110</v>
      </c>
      <c r="P57" s="79" t="s">
        <v>110</v>
      </c>
      <c r="Q57" s="79" t="s">
        <v>110</v>
      </c>
      <c r="R57" s="78">
        <v>45412</v>
      </c>
      <c r="S57" s="77" t="s">
        <v>373</v>
      </c>
      <c r="T57" s="77">
        <v>23203406</v>
      </c>
      <c r="U57" s="77" t="s">
        <v>110</v>
      </c>
      <c r="V57" s="77" t="s">
        <v>110</v>
      </c>
      <c r="W57" s="80">
        <v>45412</v>
      </c>
      <c r="X57" s="79" t="s">
        <v>373</v>
      </c>
      <c r="Y57" s="79">
        <v>23203406</v>
      </c>
      <c r="Z57" s="79" t="s">
        <v>374</v>
      </c>
      <c r="AA57" s="79">
        <v>23413541</v>
      </c>
      <c r="AB57" s="80">
        <v>45428</v>
      </c>
      <c r="AC57" s="79" t="s">
        <v>375</v>
      </c>
      <c r="AD57" s="79">
        <v>23517113</v>
      </c>
      <c r="AE57" s="78">
        <v>45729</v>
      </c>
      <c r="AF57" s="77" t="s">
        <v>376</v>
      </c>
      <c r="AG57" s="77">
        <v>30515522</v>
      </c>
      <c r="AH57" s="77"/>
      <c r="AI57" s="77"/>
      <c r="AJ57" s="80">
        <v>45638</v>
      </c>
      <c r="AK57" s="79" t="s">
        <v>377</v>
      </c>
      <c r="AL57" s="79">
        <v>28338146</v>
      </c>
      <c r="AM57" s="79"/>
      <c r="AN57" s="79"/>
      <c r="AO57" s="69">
        <v>45734</v>
      </c>
      <c r="AP57" s="70" t="s">
        <v>378</v>
      </c>
      <c r="AQ57" s="70">
        <v>30640570</v>
      </c>
      <c r="AR57" s="70"/>
      <c r="AS57" s="70"/>
      <c r="AT57" s="80">
        <v>45734</v>
      </c>
      <c r="AU57" s="79" t="s">
        <v>378</v>
      </c>
      <c r="AV57" s="79">
        <v>30640570</v>
      </c>
      <c r="AW57" s="79"/>
      <c r="AX57" s="79"/>
      <c r="AY57" s="68"/>
      <c r="AZ57" s="68"/>
      <c r="BA57" s="68"/>
      <c r="BB57" s="68"/>
      <c r="BC57" s="68"/>
      <c r="BD57" s="74"/>
      <c r="BE57" s="74"/>
      <c r="BF57" s="74"/>
      <c r="BG57" s="74"/>
      <c r="BH57" s="74"/>
      <c r="BI57" s="74"/>
      <c r="BJ57" s="83"/>
    </row>
    <row r="58" spans="1:62" ht="33" hidden="1" outlineLevel="1">
      <c r="A58" s="109"/>
      <c r="B58" s="109"/>
      <c r="C58" s="79" t="s">
        <v>379</v>
      </c>
      <c r="D58" s="79" t="s">
        <v>380</v>
      </c>
      <c r="E58" s="78">
        <v>45210</v>
      </c>
      <c r="F58" s="77" t="s">
        <v>381</v>
      </c>
      <c r="G58" s="77">
        <v>19484517</v>
      </c>
      <c r="H58" s="77" t="s">
        <v>382</v>
      </c>
      <c r="I58" s="77">
        <v>21239250</v>
      </c>
      <c r="J58" s="79" t="s">
        <v>110</v>
      </c>
      <c r="K58" s="79" t="s">
        <v>110</v>
      </c>
      <c r="L58" s="79" t="s">
        <v>110</v>
      </c>
      <c r="M58" s="79" t="s">
        <v>110</v>
      </c>
      <c r="N58" s="79" t="s">
        <v>110</v>
      </c>
      <c r="O58" s="79" t="s">
        <v>110</v>
      </c>
      <c r="P58" s="79" t="s">
        <v>110</v>
      </c>
      <c r="Q58" s="79" t="s">
        <v>110</v>
      </c>
      <c r="R58" s="78">
        <v>45412</v>
      </c>
      <c r="S58" s="77" t="s">
        <v>383</v>
      </c>
      <c r="T58" s="77">
        <v>23202064</v>
      </c>
      <c r="U58" s="77" t="s">
        <v>110</v>
      </c>
      <c r="V58" s="77" t="s">
        <v>110</v>
      </c>
      <c r="W58" s="80">
        <v>45412</v>
      </c>
      <c r="X58" s="79" t="s">
        <v>383</v>
      </c>
      <c r="Y58" s="79">
        <v>23202064</v>
      </c>
      <c r="Z58" s="79" t="s">
        <v>384</v>
      </c>
      <c r="AA58" s="79">
        <v>23421399</v>
      </c>
      <c r="AB58" s="80">
        <v>45428</v>
      </c>
      <c r="AC58" s="79" t="s">
        <v>385</v>
      </c>
      <c r="AD58" s="79">
        <v>23517168</v>
      </c>
      <c r="AE58" s="78">
        <v>45727</v>
      </c>
      <c r="AF58" s="77" t="s">
        <v>386</v>
      </c>
      <c r="AG58" s="77">
        <v>30443738</v>
      </c>
      <c r="AH58" s="77"/>
      <c r="AI58" s="77"/>
      <c r="AJ58" s="80">
        <v>45638</v>
      </c>
      <c r="AK58" s="79" t="s">
        <v>387</v>
      </c>
      <c r="AL58" s="79">
        <v>28337700</v>
      </c>
      <c r="AM58" s="79"/>
      <c r="AN58" s="79"/>
      <c r="AO58" s="69">
        <v>45734</v>
      </c>
      <c r="AP58" s="70" t="s">
        <v>388</v>
      </c>
      <c r="AQ58" s="70">
        <v>30637514</v>
      </c>
      <c r="AR58" s="70"/>
      <c r="AS58" s="70"/>
      <c r="AT58" s="80">
        <v>45734</v>
      </c>
      <c r="AU58" s="79" t="s">
        <v>388</v>
      </c>
      <c r="AV58" s="79">
        <v>30637514</v>
      </c>
      <c r="AW58" s="79"/>
      <c r="AX58" s="79"/>
      <c r="AY58" s="68"/>
      <c r="AZ58" s="68"/>
      <c r="BA58" s="68"/>
      <c r="BB58" s="68"/>
      <c r="BC58" s="68"/>
      <c r="BD58" s="74"/>
      <c r="BE58" s="74"/>
      <c r="BF58" s="74"/>
      <c r="BG58" s="74"/>
      <c r="BH58" s="74"/>
      <c r="BI58" s="74"/>
      <c r="BJ58" s="83"/>
    </row>
    <row r="59" spans="1:62" ht="33" hidden="1" outlineLevel="1">
      <c r="A59" s="109"/>
      <c r="B59" s="109"/>
      <c r="C59" s="79" t="s">
        <v>389</v>
      </c>
      <c r="D59" s="79" t="s">
        <v>390</v>
      </c>
      <c r="E59" s="78">
        <v>45210</v>
      </c>
      <c r="F59" s="77" t="s">
        <v>391</v>
      </c>
      <c r="G59" s="77">
        <v>19485346</v>
      </c>
      <c r="H59" s="77" t="s">
        <v>392</v>
      </c>
      <c r="I59" s="77">
        <v>20931823</v>
      </c>
      <c r="J59" s="79" t="s">
        <v>110</v>
      </c>
      <c r="K59" s="79" t="s">
        <v>110</v>
      </c>
      <c r="L59" s="79" t="s">
        <v>110</v>
      </c>
      <c r="M59" s="79" t="s">
        <v>110</v>
      </c>
      <c r="N59" s="79" t="s">
        <v>110</v>
      </c>
      <c r="O59" s="79" t="s">
        <v>110</v>
      </c>
      <c r="P59" s="79" t="s">
        <v>110</v>
      </c>
      <c r="Q59" s="79" t="s">
        <v>110</v>
      </c>
      <c r="R59" s="78">
        <v>45412</v>
      </c>
      <c r="S59" s="77" t="s">
        <v>393</v>
      </c>
      <c r="T59" s="77">
        <v>23204107</v>
      </c>
      <c r="U59" s="77" t="s">
        <v>110</v>
      </c>
      <c r="V59" s="77" t="s">
        <v>110</v>
      </c>
      <c r="W59" s="80">
        <v>45412</v>
      </c>
      <c r="X59" s="79" t="s">
        <v>393</v>
      </c>
      <c r="Y59" s="79">
        <v>23204107</v>
      </c>
      <c r="Z59" s="79" t="s">
        <v>394</v>
      </c>
      <c r="AA59" s="79">
        <v>23421014</v>
      </c>
      <c r="AB59" s="80">
        <v>45427</v>
      </c>
      <c r="AC59" s="79" t="s">
        <v>395</v>
      </c>
      <c r="AD59" s="79">
        <v>23517133</v>
      </c>
      <c r="AE59" s="78">
        <v>45729</v>
      </c>
      <c r="AF59" s="77" t="s">
        <v>396</v>
      </c>
      <c r="AG59" s="77">
        <v>30515605</v>
      </c>
      <c r="AH59" s="77"/>
      <c r="AI59" s="77"/>
      <c r="AJ59" s="80">
        <v>45638</v>
      </c>
      <c r="AK59" s="79" t="s">
        <v>397</v>
      </c>
      <c r="AL59" s="79">
        <v>28337784</v>
      </c>
      <c r="AM59" s="79"/>
      <c r="AN59" s="79"/>
      <c r="AO59" s="69">
        <v>45734</v>
      </c>
      <c r="AP59" s="70" t="s">
        <v>398</v>
      </c>
      <c r="AQ59" s="70">
        <v>30638422</v>
      </c>
      <c r="AR59" s="70"/>
      <c r="AS59" s="70"/>
      <c r="AT59" s="80">
        <v>45734</v>
      </c>
      <c r="AU59" s="79" t="s">
        <v>398</v>
      </c>
      <c r="AV59" s="79">
        <v>30638422</v>
      </c>
      <c r="AW59" s="79"/>
      <c r="AX59" s="79"/>
      <c r="AY59" s="68"/>
      <c r="AZ59" s="68"/>
      <c r="BA59" s="68"/>
      <c r="BB59" s="68"/>
      <c r="BC59" s="68"/>
      <c r="BD59" s="74"/>
      <c r="BE59" s="74"/>
      <c r="BF59" s="74"/>
      <c r="BG59" s="74"/>
      <c r="BH59" s="74"/>
      <c r="BI59" s="74"/>
      <c r="BJ59" s="83"/>
    </row>
    <row r="60" spans="1:62" ht="33" hidden="1" outlineLevel="1">
      <c r="A60" s="109"/>
      <c r="B60" s="109"/>
      <c r="C60" s="79" t="s">
        <v>399</v>
      </c>
      <c r="D60" s="79" t="s">
        <v>400</v>
      </c>
      <c r="E60" s="78">
        <v>45210</v>
      </c>
      <c r="F60" s="77" t="s">
        <v>401</v>
      </c>
      <c r="G60" s="77">
        <v>19483727</v>
      </c>
      <c r="H60" s="77" t="s">
        <v>402</v>
      </c>
      <c r="I60" s="77">
        <v>20259823</v>
      </c>
      <c r="J60" s="79" t="s">
        <v>110</v>
      </c>
      <c r="K60" s="79" t="s">
        <v>110</v>
      </c>
      <c r="L60" s="79" t="s">
        <v>110</v>
      </c>
      <c r="M60" s="79" t="s">
        <v>110</v>
      </c>
      <c r="N60" s="79" t="s">
        <v>110</v>
      </c>
      <c r="O60" s="79" t="s">
        <v>110</v>
      </c>
      <c r="P60" s="79" t="s">
        <v>110</v>
      </c>
      <c r="Q60" s="79" t="s">
        <v>110</v>
      </c>
      <c r="R60" s="78">
        <v>45412</v>
      </c>
      <c r="S60" s="77" t="s">
        <v>403</v>
      </c>
      <c r="T60" s="77">
        <v>23204357</v>
      </c>
      <c r="U60" s="77" t="s">
        <v>110</v>
      </c>
      <c r="V60" s="77" t="s">
        <v>110</v>
      </c>
      <c r="W60" s="80">
        <v>45412</v>
      </c>
      <c r="X60" s="79" t="s">
        <v>403</v>
      </c>
      <c r="Y60" s="79">
        <v>23204357</v>
      </c>
      <c r="Z60" s="79" t="s">
        <v>404</v>
      </c>
      <c r="AA60" s="79">
        <v>23420164</v>
      </c>
      <c r="AB60" s="80">
        <v>45427</v>
      </c>
      <c r="AC60" s="79" t="s">
        <v>405</v>
      </c>
      <c r="AD60" s="79">
        <v>23517121</v>
      </c>
      <c r="AE60" s="78">
        <v>45729</v>
      </c>
      <c r="AF60" s="77" t="s">
        <v>406</v>
      </c>
      <c r="AG60" s="77">
        <v>30516215</v>
      </c>
      <c r="AH60" s="77"/>
      <c r="AI60" s="77"/>
      <c r="AJ60" s="80">
        <v>45638</v>
      </c>
      <c r="AK60" s="79" t="s">
        <v>407</v>
      </c>
      <c r="AL60" s="79">
        <v>28337831</v>
      </c>
      <c r="AM60" s="79"/>
      <c r="AN60" s="79"/>
      <c r="AO60" s="69">
        <v>45734</v>
      </c>
      <c r="AP60" s="70" t="s">
        <v>408</v>
      </c>
      <c r="AQ60" s="70">
        <v>30640971</v>
      </c>
      <c r="AR60" s="70"/>
      <c r="AS60" s="70"/>
      <c r="AT60" s="80">
        <v>45734</v>
      </c>
      <c r="AU60" s="79" t="s">
        <v>408</v>
      </c>
      <c r="AV60" s="79">
        <v>30640971</v>
      </c>
      <c r="AW60" s="79"/>
      <c r="AX60" s="79"/>
      <c r="AY60" s="68"/>
      <c r="AZ60" s="68"/>
      <c r="BA60" s="68"/>
      <c r="BB60" s="68"/>
      <c r="BC60" s="68"/>
      <c r="BD60" s="74"/>
      <c r="BE60" s="74"/>
      <c r="BF60" s="74"/>
      <c r="BG60" s="74"/>
      <c r="BH60" s="74"/>
      <c r="BI60" s="74"/>
      <c r="BJ60" s="83"/>
    </row>
    <row r="61" spans="1:62" ht="33" hidden="1" outlineLevel="1">
      <c r="A61" s="109"/>
      <c r="B61" s="109"/>
      <c r="C61" s="79" t="s">
        <v>409</v>
      </c>
      <c r="D61" s="79" t="s">
        <v>410</v>
      </c>
      <c r="E61" s="78">
        <v>45210</v>
      </c>
      <c r="F61" s="77" t="s">
        <v>411</v>
      </c>
      <c r="G61" s="77">
        <v>19483866</v>
      </c>
      <c r="H61" s="77" t="s">
        <v>412</v>
      </c>
      <c r="I61" s="77">
        <v>20733903</v>
      </c>
      <c r="J61" s="79" t="s">
        <v>110</v>
      </c>
      <c r="K61" s="79" t="s">
        <v>110</v>
      </c>
      <c r="L61" s="79" t="s">
        <v>110</v>
      </c>
      <c r="M61" s="79" t="s">
        <v>110</v>
      </c>
      <c r="N61" s="79" t="s">
        <v>110</v>
      </c>
      <c r="O61" s="79" t="s">
        <v>110</v>
      </c>
      <c r="P61" s="79" t="s">
        <v>110</v>
      </c>
      <c r="Q61" s="79" t="s">
        <v>110</v>
      </c>
      <c r="R61" s="78">
        <v>45412</v>
      </c>
      <c r="S61" s="77" t="s">
        <v>413</v>
      </c>
      <c r="T61" s="77">
        <v>23204701</v>
      </c>
      <c r="U61" s="77" t="s">
        <v>110</v>
      </c>
      <c r="V61" s="77" t="s">
        <v>110</v>
      </c>
      <c r="W61" s="80">
        <v>45412</v>
      </c>
      <c r="X61" s="79" t="s">
        <v>413</v>
      </c>
      <c r="Y61" s="79">
        <v>23204701</v>
      </c>
      <c r="Z61" s="79" t="s">
        <v>414</v>
      </c>
      <c r="AA61" s="79">
        <v>23420556</v>
      </c>
      <c r="AB61" s="80">
        <v>45427</v>
      </c>
      <c r="AC61" s="79" t="s">
        <v>415</v>
      </c>
      <c r="AD61" s="79">
        <v>23517067</v>
      </c>
      <c r="AE61" s="78">
        <v>45729</v>
      </c>
      <c r="AF61" s="77" t="s">
        <v>416</v>
      </c>
      <c r="AG61" s="77">
        <v>30513767</v>
      </c>
      <c r="AH61" s="77"/>
      <c r="AI61" s="77"/>
      <c r="AJ61" s="80">
        <v>45638</v>
      </c>
      <c r="AK61" s="79" t="s">
        <v>417</v>
      </c>
      <c r="AL61" s="79">
        <v>28337994</v>
      </c>
      <c r="AM61" s="79"/>
      <c r="AN61" s="79"/>
      <c r="AO61" s="69">
        <v>45734</v>
      </c>
      <c r="AP61" s="70" t="s">
        <v>418</v>
      </c>
      <c r="AQ61" s="70">
        <v>30635445</v>
      </c>
      <c r="AR61" s="70"/>
      <c r="AS61" s="70"/>
      <c r="AT61" s="80">
        <v>45734</v>
      </c>
      <c r="AU61" s="79" t="s">
        <v>418</v>
      </c>
      <c r="AV61" s="79">
        <v>30635445</v>
      </c>
      <c r="AW61" s="79"/>
      <c r="AX61" s="79"/>
      <c r="AY61" s="68"/>
      <c r="AZ61" s="68"/>
      <c r="BA61" s="68"/>
      <c r="BB61" s="68"/>
      <c r="BC61" s="68"/>
      <c r="BD61" s="74"/>
      <c r="BE61" s="74"/>
      <c r="BF61" s="74"/>
      <c r="BG61" s="74"/>
      <c r="BH61" s="74"/>
      <c r="BI61" s="74"/>
      <c r="BJ61" s="83"/>
    </row>
    <row r="62" spans="1:62" ht="33" hidden="1" outlineLevel="1">
      <c r="A62" s="109"/>
      <c r="B62" s="109"/>
      <c r="C62" s="79" t="s">
        <v>419</v>
      </c>
      <c r="D62" s="79" t="s">
        <v>420</v>
      </c>
      <c r="E62" s="78">
        <v>45414</v>
      </c>
      <c r="F62" s="77" t="s">
        <v>421</v>
      </c>
      <c r="G62" s="77">
        <v>23236166</v>
      </c>
      <c r="H62" s="77" t="s">
        <v>422</v>
      </c>
      <c r="I62" s="77">
        <v>27391673</v>
      </c>
      <c r="J62" s="79" t="s">
        <v>110</v>
      </c>
      <c r="K62" s="79" t="s">
        <v>110</v>
      </c>
      <c r="L62" s="79" t="s">
        <v>110</v>
      </c>
      <c r="M62" s="79" t="s">
        <v>110</v>
      </c>
      <c r="N62" s="79" t="s">
        <v>110</v>
      </c>
      <c r="O62" s="79" t="s">
        <v>110</v>
      </c>
      <c r="P62" s="79" t="s">
        <v>110</v>
      </c>
      <c r="Q62" s="79" t="s">
        <v>110</v>
      </c>
      <c r="R62" s="78">
        <v>45642</v>
      </c>
      <c r="S62" s="77" t="s">
        <v>423</v>
      </c>
      <c r="T62" s="77">
        <v>28417251</v>
      </c>
      <c r="U62" s="77"/>
      <c r="V62" s="77"/>
      <c r="W62" s="80">
        <v>45678</v>
      </c>
      <c r="X62" s="79" t="s">
        <v>424</v>
      </c>
      <c r="Y62" s="79">
        <v>29206192</v>
      </c>
      <c r="Z62" s="79" t="s">
        <v>425</v>
      </c>
      <c r="AA62" s="79">
        <v>29364248</v>
      </c>
      <c r="AB62" s="80">
        <v>45685</v>
      </c>
      <c r="AC62" s="79" t="s">
        <v>426</v>
      </c>
      <c r="AD62" s="79">
        <v>29599430</v>
      </c>
      <c r="AE62" s="78"/>
      <c r="AF62" s="77"/>
      <c r="AG62" s="77"/>
      <c r="AH62" s="77"/>
      <c r="AI62" s="77"/>
      <c r="AJ62" s="80"/>
      <c r="AK62" s="79"/>
      <c r="AL62" s="79"/>
      <c r="AM62" s="79"/>
      <c r="AN62" s="79"/>
      <c r="AO62" s="69"/>
      <c r="AP62" s="70"/>
      <c r="AQ62" s="70"/>
      <c r="AR62" s="70"/>
      <c r="AS62" s="70"/>
      <c r="AT62" s="80"/>
      <c r="AU62" s="79"/>
      <c r="AV62" s="79"/>
      <c r="AW62" s="79"/>
      <c r="AX62" s="79"/>
      <c r="AY62" s="68"/>
      <c r="AZ62" s="68"/>
      <c r="BA62" s="68"/>
      <c r="BB62" s="68"/>
      <c r="BC62" s="68"/>
      <c r="BD62" s="74"/>
      <c r="BE62" s="74"/>
      <c r="BF62" s="74"/>
      <c r="BG62" s="74"/>
      <c r="BH62" s="74"/>
      <c r="BI62" s="74"/>
      <c r="BJ62" s="83"/>
    </row>
    <row r="63" spans="1:62" ht="33" hidden="1" outlineLevel="1">
      <c r="A63" s="109"/>
      <c r="B63" s="109">
        <v>3</v>
      </c>
      <c r="C63" s="79" t="s">
        <v>427</v>
      </c>
      <c r="D63" s="79" t="s">
        <v>428</v>
      </c>
      <c r="E63" s="78">
        <v>45700</v>
      </c>
      <c r="F63" s="77" t="s">
        <v>429</v>
      </c>
      <c r="G63" s="77">
        <v>29757604</v>
      </c>
      <c r="H63" s="77"/>
      <c r="I63" s="77"/>
      <c r="J63" s="79"/>
      <c r="K63" s="79"/>
      <c r="L63" s="79"/>
      <c r="M63" s="79"/>
      <c r="N63" s="79"/>
      <c r="O63" s="79"/>
      <c r="P63" s="79"/>
      <c r="Q63" s="79"/>
      <c r="R63" s="78"/>
      <c r="S63" s="77"/>
      <c r="T63" s="77"/>
      <c r="U63" s="77"/>
      <c r="V63" s="77"/>
      <c r="W63" s="80"/>
      <c r="X63" s="79"/>
      <c r="Y63" s="79"/>
      <c r="Z63" s="79"/>
      <c r="AA63" s="79"/>
      <c r="AB63" s="80"/>
      <c r="AC63" s="79"/>
      <c r="AD63" s="79"/>
      <c r="AE63" s="78"/>
      <c r="AF63" s="77"/>
      <c r="AG63" s="77"/>
      <c r="AH63" s="77"/>
      <c r="AI63" s="77"/>
      <c r="AJ63" s="80"/>
      <c r="AK63" s="79"/>
      <c r="AL63" s="79"/>
      <c r="AM63" s="79"/>
      <c r="AN63" s="79"/>
      <c r="AO63" s="69"/>
      <c r="AP63" s="70"/>
      <c r="AQ63" s="70"/>
      <c r="AR63" s="70"/>
      <c r="AS63" s="70"/>
      <c r="AT63" s="80"/>
      <c r="AU63" s="79"/>
      <c r="AV63" s="79"/>
      <c r="AW63" s="79"/>
      <c r="AX63" s="79"/>
      <c r="AY63" s="68"/>
      <c r="AZ63" s="68"/>
      <c r="BA63" s="68"/>
      <c r="BB63" s="68"/>
      <c r="BC63" s="68"/>
      <c r="BD63" s="74"/>
      <c r="BE63" s="74"/>
      <c r="BF63" s="74"/>
      <c r="BG63" s="74"/>
      <c r="BH63" s="74"/>
      <c r="BI63" s="74"/>
      <c r="BJ63" s="83"/>
    </row>
    <row r="64" spans="1:62" ht="33" hidden="1" outlineLevel="1">
      <c r="A64" s="109"/>
      <c r="B64" s="109"/>
      <c r="C64" s="79" t="s">
        <v>430</v>
      </c>
      <c r="D64" s="79" t="s">
        <v>431</v>
      </c>
      <c r="E64" s="78">
        <v>45786</v>
      </c>
      <c r="F64" s="77" t="s">
        <v>432</v>
      </c>
      <c r="G64" s="77">
        <v>32046514</v>
      </c>
      <c r="H64" s="77"/>
      <c r="I64" s="77"/>
      <c r="J64" s="79"/>
      <c r="K64" s="79"/>
      <c r="L64" s="79"/>
      <c r="M64" s="79"/>
      <c r="N64" s="79"/>
      <c r="O64" s="79"/>
      <c r="P64" s="79"/>
      <c r="Q64" s="79"/>
      <c r="R64" s="78"/>
      <c r="S64" s="77"/>
      <c r="T64" s="77"/>
      <c r="U64" s="77"/>
      <c r="V64" s="77"/>
      <c r="W64" s="80"/>
      <c r="X64" s="79"/>
      <c r="Y64" s="79"/>
      <c r="Z64" s="79"/>
      <c r="AA64" s="79"/>
      <c r="AB64" s="80"/>
      <c r="AC64" s="79"/>
      <c r="AD64" s="79"/>
      <c r="AE64" s="78"/>
      <c r="AF64" s="77"/>
      <c r="AG64" s="77"/>
      <c r="AH64" s="77"/>
      <c r="AI64" s="77"/>
      <c r="AJ64" s="80"/>
      <c r="AK64" s="79"/>
      <c r="AL64" s="79"/>
      <c r="AM64" s="79"/>
      <c r="AN64" s="79"/>
      <c r="AO64" s="69"/>
      <c r="AP64" s="70"/>
      <c r="AQ64" s="70"/>
      <c r="AR64" s="70"/>
      <c r="AS64" s="70"/>
      <c r="AT64" s="80"/>
      <c r="AU64" s="79"/>
      <c r="AV64" s="79"/>
      <c r="AW64" s="79"/>
      <c r="AX64" s="79"/>
      <c r="AY64" s="68"/>
      <c r="AZ64" s="68"/>
      <c r="BA64" s="68"/>
      <c r="BB64" s="68"/>
      <c r="BC64" s="68"/>
      <c r="BD64" s="74"/>
      <c r="BE64" s="74"/>
      <c r="BF64" s="74"/>
      <c r="BG64" s="74"/>
      <c r="BH64" s="74"/>
      <c r="BI64" s="74"/>
      <c r="BJ64" s="83"/>
    </row>
    <row r="65" spans="1:62" ht="33" hidden="1" outlineLevel="1">
      <c r="A65" s="109"/>
      <c r="B65" s="109"/>
      <c r="C65" s="79" t="s">
        <v>433</v>
      </c>
      <c r="D65" s="79" t="s">
        <v>434</v>
      </c>
      <c r="E65" s="78">
        <v>45786</v>
      </c>
      <c r="F65" s="77" t="s">
        <v>435</v>
      </c>
      <c r="G65" s="77">
        <v>32046005</v>
      </c>
      <c r="H65" s="77"/>
      <c r="I65" s="77"/>
      <c r="J65" s="79"/>
      <c r="K65" s="79"/>
      <c r="L65" s="79"/>
      <c r="M65" s="79"/>
      <c r="N65" s="79"/>
      <c r="O65" s="79"/>
      <c r="P65" s="79"/>
      <c r="Q65" s="79"/>
      <c r="R65" s="78"/>
      <c r="S65" s="77"/>
      <c r="T65" s="77"/>
      <c r="U65" s="77"/>
      <c r="V65" s="77"/>
      <c r="W65" s="80"/>
      <c r="X65" s="79"/>
      <c r="Y65" s="79"/>
      <c r="Z65" s="79"/>
      <c r="AA65" s="79"/>
      <c r="AB65" s="80"/>
      <c r="AC65" s="79"/>
      <c r="AD65" s="79"/>
      <c r="AE65" s="78"/>
      <c r="AF65" s="77"/>
      <c r="AG65" s="77"/>
      <c r="AH65" s="77"/>
      <c r="AI65" s="77"/>
      <c r="AJ65" s="80"/>
      <c r="AK65" s="79"/>
      <c r="AL65" s="79"/>
      <c r="AM65" s="79"/>
      <c r="AN65" s="79"/>
      <c r="AO65" s="69"/>
      <c r="AP65" s="70"/>
      <c r="AQ65" s="70"/>
      <c r="AR65" s="70"/>
      <c r="AS65" s="70"/>
      <c r="AT65" s="80"/>
      <c r="AU65" s="79"/>
      <c r="AV65" s="79"/>
      <c r="AW65" s="79"/>
      <c r="AX65" s="79"/>
      <c r="AY65" s="68"/>
      <c r="AZ65" s="68"/>
      <c r="BA65" s="68"/>
      <c r="BB65" s="68"/>
      <c r="BC65" s="68"/>
      <c r="BD65" s="74"/>
      <c r="BE65" s="74"/>
      <c r="BF65" s="74"/>
      <c r="BG65" s="74"/>
      <c r="BH65" s="74"/>
      <c r="BI65" s="74"/>
      <c r="BJ65" s="83"/>
    </row>
    <row r="66" spans="1:62" ht="33" hidden="1" outlineLevel="1">
      <c r="A66" s="109"/>
      <c r="B66" s="109"/>
      <c r="C66" s="79" t="s">
        <v>436</v>
      </c>
      <c r="D66" s="79" t="s">
        <v>437</v>
      </c>
      <c r="E66" s="78">
        <v>45786</v>
      </c>
      <c r="F66" s="77" t="s">
        <v>438</v>
      </c>
      <c r="G66" s="77">
        <v>32044585</v>
      </c>
      <c r="H66" s="77"/>
      <c r="I66" s="77"/>
      <c r="J66" s="79"/>
      <c r="K66" s="79"/>
      <c r="L66" s="79"/>
      <c r="M66" s="79"/>
      <c r="N66" s="79"/>
      <c r="O66" s="79"/>
      <c r="P66" s="79"/>
      <c r="Q66" s="79"/>
      <c r="R66" s="78"/>
      <c r="S66" s="77"/>
      <c r="T66" s="77"/>
      <c r="U66" s="77"/>
      <c r="V66" s="77"/>
      <c r="W66" s="80"/>
      <c r="X66" s="79"/>
      <c r="Y66" s="79"/>
      <c r="Z66" s="79"/>
      <c r="AA66" s="79"/>
      <c r="AB66" s="80"/>
      <c r="AC66" s="79"/>
      <c r="AD66" s="79"/>
      <c r="AE66" s="78"/>
      <c r="AF66" s="77"/>
      <c r="AG66" s="77"/>
      <c r="AH66" s="77"/>
      <c r="AI66" s="77"/>
      <c r="AJ66" s="80"/>
      <c r="AK66" s="79"/>
      <c r="AL66" s="79"/>
      <c r="AM66" s="79"/>
      <c r="AN66" s="79"/>
      <c r="AO66" s="69"/>
      <c r="AP66" s="70"/>
      <c r="AQ66" s="70"/>
      <c r="AR66" s="70"/>
      <c r="AS66" s="70"/>
      <c r="AT66" s="80"/>
      <c r="AU66" s="79"/>
      <c r="AV66" s="79"/>
      <c r="AW66" s="79"/>
      <c r="AX66" s="79"/>
      <c r="AY66" s="68"/>
      <c r="AZ66" s="68"/>
      <c r="BA66" s="68"/>
      <c r="BB66" s="68"/>
      <c r="BC66" s="68"/>
      <c r="BD66" s="74"/>
      <c r="BE66" s="74"/>
      <c r="BF66" s="74"/>
      <c r="BG66" s="74"/>
      <c r="BH66" s="74"/>
      <c r="BI66" s="74"/>
      <c r="BJ66" s="83"/>
    </row>
    <row r="67" spans="1:62" ht="33" hidden="1" outlineLevel="1">
      <c r="A67" s="109"/>
      <c r="B67" s="109"/>
      <c r="C67" s="79" t="s">
        <v>439</v>
      </c>
      <c r="D67" s="79" t="s">
        <v>440</v>
      </c>
      <c r="E67" s="78">
        <v>45786</v>
      </c>
      <c r="F67" s="77" t="s">
        <v>441</v>
      </c>
      <c r="G67" s="77">
        <v>32045459</v>
      </c>
      <c r="H67" s="77"/>
      <c r="I67" s="77"/>
      <c r="J67" s="79"/>
      <c r="K67" s="79"/>
      <c r="L67" s="79"/>
      <c r="M67" s="79"/>
      <c r="N67" s="79"/>
      <c r="O67" s="79"/>
      <c r="P67" s="79"/>
      <c r="Q67" s="79"/>
      <c r="R67" s="78"/>
      <c r="S67" s="77"/>
      <c r="T67" s="77"/>
      <c r="U67" s="77"/>
      <c r="V67" s="77"/>
      <c r="W67" s="80"/>
      <c r="X67" s="79"/>
      <c r="Y67" s="79"/>
      <c r="Z67" s="79"/>
      <c r="AA67" s="79"/>
      <c r="AB67" s="80"/>
      <c r="AC67" s="79"/>
      <c r="AD67" s="79"/>
      <c r="AE67" s="78"/>
      <c r="AF67" s="77"/>
      <c r="AG67" s="77"/>
      <c r="AH67" s="77"/>
      <c r="AI67" s="77"/>
      <c r="AJ67" s="80"/>
      <c r="AK67" s="79"/>
      <c r="AL67" s="79"/>
      <c r="AM67" s="79"/>
      <c r="AN67" s="79"/>
      <c r="AO67" s="69"/>
      <c r="AP67" s="70"/>
      <c r="AQ67" s="70"/>
      <c r="AR67" s="70"/>
      <c r="AS67" s="70"/>
      <c r="AT67" s="80"/>
      <c r="AU67" s="79"/>
      <c r="AV67" s="79"/>
      <c r="AW67" s="79"/>
      <c r="AX67" s="79"/>
      <c r="AY67" s="68"/>
      <c r="AZ67" s="68"/>
      <c r="BA67" s="68"/>
      <c r="BB67" s="68"/>
      <c r="BC67" s="68"/>
      <c r="BD67" s="74"/>
      <c r="BE67" s="74"/>
      <c r="BF67" s="74"/>
      <c r="BG67" s="74"/>
      <c r="BH67" s="74"/>
      <c r="BI67" s="74"/>
      <c r="BJ67" s="83"/>
    </row>
    <row r="68" spans="1:62" ht="33" hidden="1" outlineLevel="1">
      <c r="A68" s="109"/>
      <c r="B68" s="109"/>
      <c r="C68" s="79" t="s">
        <v>442</v>
      </c>
      <c r="D68" s="79" t="s">
        <v>443</v>
      </c>
      <c r="E68" s="78">
        <v>45700</v>
      </c>
      <c r="F68" s="77" t="s">
        <v>444</v>
      </c>
      <c r="G68" s="77">
        <v>29758918</v>
      </c>
      <c r="H68" s="77"/>
      <c r="I68" s="77"/>
      <c r="J68" s="79"/>
      <c r="K68" s="79"/>
      <c r="L68" s="79"/>
      <c r="M68" s="79"/>
      <c r="N68" s="79"/>
      <c r="O68" s="79"/>
      <c r="P68" s="79"/>
      <c r="Q68" s="79"/>
      <c r="R68" s="78"/>
      <c r="S68" s="77"/>
      <c r="T68" s="77"/>
      <c r="U68" s="77"/>
      <c r="V68" s="77"/>
      <c r="W68" s="80"/>
      <c r="X68" s="79"/>
      <c r="Y68" s="79"/>
      <c r="Z68" s="79"/>
      <c r="AA68" s="79"/>
      <c r="AB68" s="80"/>
      <c r="AC68" s="79"/>
      <c r="AD68" s="79"/>
      <c r="AE68" s="78"/>
      <c r="AF68" s="77"/>
      <c r="AG68" s="77"/>
      <c r="AH68" s="77"/>
      <c r="AI68" s="77"/>
      <c r="AJ68" s="80"/>
      <c r="AK68" s="79"/>
      <c r="AL68" s="79"/>
      <c r="AM68" s="79"/>
      <c r="AN68" s="79"/>
      <c r="AO68" s="69"/>
      <c r="AP68" s="70"/>
      <c r="AQ68" s="70"/>
      <c r="AR68" s="70"/>
      <c r="AS68" s="70"/>
      <c r="AT68" s="80"/>
      <c r="AU68" s="79"/>
      <c r="AV68" s="79"/>
      <c r="AW68" s="79"/>
      <c r="AX68" s="79"/>
      <c r="AY68" s="68"/>
      <c r="AZ68" s="68"/>
      <c r="BA68" s="68"/>
      <c r="BB68" s="68"/>
      <c r="BC68" s="68"/>
      <c r="BD68" s="74"/>
      <c r="BE68" s="74"/>
      <c r="BF68" s="74"/>
      <c r="BG68" s="74"/>
      <c r="BH68" s="74"/>
      <c r="BI68" s="74"/>
      <c r="BJ68" s="83"/>
    </row>
    <row r="69" spans="1:62" ht="33" hidden="1" outlineLevel="1">
      <c r="A69" s="109"/>
      <c r="B69" s="109"/>
      <c r="C69" s="79" t="s">
        <v>445</v>
      </c>
      <c r="D69" s="79" t="s">
        <v>446</v>
      </c>
      <c r="E69" s="78">
        <v>45700</v>
      </c>
      <c r="F69" s="77" t="s">
        <v>447</v>
      </c>
      <c r="G69" s="77">
        <v>29760265</v>
      </c>
      <c r="H69" s="77"/>
      <c r="I69" s="77"/>
      <c r="J69" s="79"/>
      <c r="K69" s="79"/>
      <c r="L69" s="79"/>
      <c r="M69" s="79"/>
      <c r="N69" s="79"/>
      <c r="O69" s="79"/>
      <c r="P69" s="79"/>
      <c r="Q69" s="79"/>
      <c r="R69" s="78"/>
      <c r="S69" s="77"/>
      <c r="T69" s="77"/>
      <c r="U69" s="77"/>
      <c r="V69" s="77"/>
      <c r="W69" s="80"/>
      <c r="X69" s="79"/>
      <c r="Y69" s="79"/>
      <c r="Z69" s="79"/>
      <c r="AA69" s="79"/>
      <c r="AB69" s="80"/>
      <c r="AC69" s="79"/>
      <c r="AD69" s="79"/>
      <c r="AE69" s="78"/>
      <c r="AF69" s="77"/>
      <c r="AG69" s="77"/>
      <c r="AH69" s="77"/>
      <c r="AI69" s="77"/>
      <c r="AJ69" s="80"/>
      <c r="AK69" s="79"/>
      <c r="AL69" s="79"/>
      <c r="AM69" s="79"/>
      <c r="AN69" s="79"/>
      <c r="AO69" s="69"/>
      <c r="AP69" s="70"/>
      <c r="AQ69" s="70"/>
      <c r="AR69" s="70"/>
      <c r="AS69" s="70"/>
      <c r="AT69" s="80"/>
      <c r="AU69" s="79"/>
      <c r="AV69" s="79"/>
      <c r="AW69" s="79"/>
      <c r="AX69" s="79"/>
      <c r="AY69" s="68"/>
      <c r="AZ69" s="68"/>
      <c r="BA69" s="68"/>
      <c r="BB69" s="68"/>
      <c r="BC69" s="68"/>
      <c r="BD69" s="74"/>
      <c r="BE69" s="74"/>
      <c r="BF69" s="74"/>
      <c r="BG69" s="74"/>
      <c r="BH69" s="74"/>
      <c r="BI69" s="74"/>
      <c r="BJ69" s="83"/>
    </row>
    <row r="70" spans="1:62" ht="33" hidden="1" outlineLevel="1">
      <c r="A70" s="109"/>
      <c r="B70" s="109"/>
      <c r="C70" s="79" t="s">
        <v>448</v>
      </c>
      <c r="D70" s="79" t="s">
        <v>449</v>
      </c>
      <c r="E70" s="78">
        <v>45700</v>
      </c>
      <c r="F70" s="77" t="s">
        <v>450</v>
      </c>
      <c r="G70" s="77">
        <v>29760853</v>
      </c>
      <c r="H70" s="77"/>
      <c r="I70" s="77"/>
      <c r="J70" s="79"/>
      <c r="K70" s="79"/>
      <c r="L70" s="79"/>
      <c r="M70" s="79"/>
      <c r="N70" s="79"/>
      <c r="O70" s="79"/>
      <c r="P70" s="79"/>
      <c r="Q70" s="79"/>
      <c r="R70" s="78"/>
      <c r="S70" s="77"/>
      <c r="T70" s="77"/>
      <c r="U70" s="77"/>
      <c r="V70" s="77"/>
      <c r="W70" s="80"/>
      <c r="X70" s="79"/>
      <c r="Y70" s="79"/>
      <c r="Z70" s="79"/>
      <c r="AA70" s="79"/>
      <c r="AB70" s="80"/>
      <c r="AC70" s="79"/>
      <c r="AD70" s="79"/>
      <c r="AE70" s="78"/>
      <c r="AF70" s="77"/>
      <c r="AG70" s="77"/>
      <c r="AH70" s="77"/>
      <c r="AI70" s="77"/>
      <c r="AJ70" s="80"/>
      <c r="AK70" s="79"/>
      <c r="AL70" s="79"/>
      <c r="AM70" s="79"/>
      <c r="AN70" s="79"/>
      <c r="AO70" s="69"/>
      <c r="AP70" s="70"/>
      <c r="AQ70" s="70"/>
      <c r="AR70" s="70"/>
      <c r="AS70" s="70"/>
      <c r="AT70" s="80"/>
      <c r="AU70" s="79"/>
      <c r="AV70" s="79"/>
      <c r="AW70" s="79"/>
      <c r="AX70" s="79"/>
      <c r="AY70" s="68"/>
      <c r="AZ70" s="68"/>
      <c r="BA70" s="68"/>
      <c r="BB70" s="68"/>
      <c r="BC70" s="68"/>
      <c r="BD70" s="74"/>
      <c r="BE70" s="74"/>
      <c r="BF70" s="74"/>
      <c r="BG70" s="74"/>
      <c r="BH70" s="74"/>
      <c r="BI70" s="74"/>
      <c r="BJ70" s="83"/>
    </row>
    <row r="71" spans="1:62" collapsed="1">
      <c r="A71" s="109" t="s">
        <v>451</v>
      </c>
      <c r="B71" s="76"/>
      <c r="C71" s="79" t="s">
        <v>452</v>
      </c>
      <c r="D71" s="79"/>
      <c r="E71" s="77"/>
      <c r="F71" s="77"/>
      <c r="G71" s="77"/>
      <c r="H71" s="77"/>
      <c r="I71" s="77"/>
      <c r="J71" s="79"/>
      <c r="K71" s="79"/>
      <c r="L71" s="79"/>
      <c r="M71" s="79"/>
      <c r="N71" s="79"/>
      <c r="O71" s="79"/>
      <c r="P71" s="79"/>
      <c r="Q71" s="79"/>
      <c r="R71" s="77"/>
      <c r="S71" s="77"/>
      <c r="T71" s="77"/>
      <c r="U71" s="77"/>
      <c r="V71" s="77"/>
      <c r="W71" s="79"/>
      <c r="X71" s="79"/>
      <c r="Y71" s="79"/>
      <c r="Z71" s="79"/>
      <c r="AA71" s="79"/>
      <c r="AB71" s="79"/>
      <c r="AC71" s="79"/>
      <c r="AD71" s="79"/>
      <c r="AE71" s="77"/>
      <c r="AF71" s="77"/>
      <c r="AG71" s="77"/>
      <c r="AH71" s="77"/>
      <c r="AI71" s="77"/>
      <c r="AJ71" s="79"/>
      <c r="AK71" s="79"/>
      <c r="AL71" s="79"/>
      <c r="AM71" s="79"/>
      <c r="AN71" s="79"/>
      <c r="AO71" s="70"/>
      <c r="AP71" s="70"/>
      <c r="AQ71" s="70"/>
      <c r="AR71" s="70"/>
      <c r="AS71" s="70"/>
      <c r="AT71" s="79"/>
      <c r="AU71" s="79"/>
      <c r="AV71" s="79"/>
      <c r="AW71" s="79"/>
      <c r="AX71" s="79"/>
      <c r="AY71" s="68"/>
      <c r="AZ71" s="68"/>
      <c r="BA71" s="68"/>
      <c r="BB71" s="68"/>
      <c r="BC71" s="68"/>
      <c r="BD71" s="74"/>
      <c r="BE71" s="74"/>
      <c r="BF71" s="74"/>
      <c r="BG71" s="74"/>
      <c r="BH71" s="74"/>
      <c r="BI71" s="74"/>
      <c r="BJ71" s="83"/>
    </row>
    <row r="72" spans="1:62">
      <c r="A72" s="109"/>
      <c r="B72" s="76"/>
      <c r="C72" s="79" t="s">
        <v>453</v>
      </c>
      <c r="D72" s="79"/>
      <c r="E72" s="77"/>
      <c r="F72" s="77"/>
      <c r="G72" s="77"/>
      <c r="H72" s="77"/>
      <c r="I72" s="77"/>
      <c r="J72" s="79"/>
      <c r="K72" s="79"/>
      <c r="L72" s="79"/>
      <c r="M72" s="79"/>
      <c r="N72" s="79"/>
      <c r="O72" s="79"/>
      <c r="P72" s="79"/>
      <c r="Q72" s="79"/>
      <c r="R72" s="77"/>
      <c r="S72" s="77"/>
      <c r="T72" s="77"/>
      <c r="U72" s="77"/>
      <c r="V72" s="77"/>
      <c r="W72" s="79"/>
      <c r="X72" s="79"/>
      <c r="Y72" s="79"/>
      <c r="Z72" s="79"/>
      <c r="AA72" s="79"/>
      <c r="AB72" s="79"/>
      <c r="AC72" s="79"/>
      <c r="AD72" s="79"/>
      <c r="AE72" s="77"/>
      <c r="AF72" s="77"/>
      <c r="AG72" s="77"/>
      <c r="AH72" s="77"/>
      <c r="AI72" s="77"/>
      <c r="AJ72" s="79"/>
      <c r="AK72" s="79"/>
      <c r="AL72" s="79"/>
      <c r="AM72" s="79"/>
      <c r="AN72" s="79"/>
      <c r="AO72" s="70"/>
      <c r="AP72" s="70"/>
      <c r="AQ72" s="70"/>
      <c r="AR72" s="70"/>
      <c r="AS72" s="70"/>
      <c r="AT72" s="79"/>
      <c r="AU72" s="79"/>
      <c r="AV72" s="79"/>
      <c r="AW72" s="79"/>
      <c r="AX72" s="79"/>
      <c r="AY72" s="68"/>
      <c r="AZ72" s="68"/>
      <c r="BA72" s="68"/>
      <c r="BB72" s="68"/>
      <c r="BC72" s="68"/>
      <c r="BD72" s="74"/>
      <c r="BE72" s="74"/>
      <c r="BF72" s="74"/>
      <c r="BG72" s="74"/>
      <c r="BH72" s="74"/>
      <c r="BI72" s="74"/>
      <c r="BJ72" s="83"/>
    </row>
    <row r="73" spans="1:62">
      <c r="A73" s="109"/>
      <c r="B73" s="76"/>
      <c r="C73" s="79" t="s">
        <v>454</v>
      </c>
      <c r="D73" s="79"/>
      <c r="E73" s="77"/>
      <c r="F73" s="77"/>
      <c r="G73" s="77"/>
      <c r="H73" s="77"/>
      <c r="I73" s="77"/>
      <c r="J73" s="79"/>
      <c r="K73" s="79"/>
      <c r="L73" s="79"/>
      <c r="M73" s="79"/>
      <c r="N73" s="79"/>
      <c r="O73" s="79"/>
      <c r="P73" s="79"/>
      <c r="Q73" s="79"/>
      <c r="R73" s="77"/>
      <c r="S73" s="77"/>
      <c r="T73" s="77"/>
      <c r="U73" s="77"/>
      <c r="V73" s="77"/>
      <c r="W73" s="79"/>
      <c r="X73" s="80">
        <v>45617</v>
      </c>
      <c r="Y73" s="79"/>
      <c r="Z73" s="79"/>
      <c r="AA73" s="79"/>
      <c r="AB73" s="79"/>
      <c r="AC73" s="79"/>
      <c r="AD73" s="79"/>
      <c r="AE73" s="77"/>
      <c r="AF73" s="77"/>
      <c r="AG73" s="77"/>
      <c r="AH73" s="77"/>
      <c r="AI73" s="77"/>
      <c r="AJ73" s="79"/>
      <c r="AK73" s="79"/>
      <c r="AL73" s="79"/>
      <c r="AM73" s="79"/>
      <c r="AN73" s="79"/>
      <c r="AO73" s="70"/>
      <c r="AP73" s="70"/>
      <c r="AQ73" s="70"/>
      <c r="AR73" s="70"/>
      <c r="AS73" s="70"/>
      <c r="AT73" s="79"/>
      <c r="AU73" s="79"/>
      <c r="AV73" s="79"/>
      <c r="AW73" s="79"/>
      <c r="AX73" s="79"/>
      <c r="AY73" s="68"/>
      <c r="AZ73" s="68"/>
      <c r="BA73" s="68"/>
      <c r="BB73" s="68"/>
      <c r="BC73" s="68"/>
      <c r="BD73" s="74"/>
      <c r="BE73" s="74"/>
      <c r="BF73" s="74"/>
      <c r="BG73" s="74"/>
      <c r="BH73" s="74"/>
      <c r="BI73" s="74"/>
      <c r="BJ73" s="83"/>
    </row>
    <row r="74" spans="1:62">
      <c r="A74" s="76" t="s">
        <v>455</v>
      </c>
      <c r="B74" s="76"/>
      <c r="C74" s="79" t="s">
        <v>110</v>
      </c>
      <c r="D74" s="79" t="s">
        <v>110</v>
      </c>
      <c r="E74" s="77"/>
      <c r="F74" s="77"/>
      <c r="G74" s="77"/>
      <c r="H74" s="77"/>
      <c r="I74" s="77"/>
      <c r="J74" s="79"/>
      <c r="K74" s="79"/>
      <c r="L74" s="79"/>
      <c r="M74" s="79"/>
      <c r="N74" s="79"/>
      <c r="O74" s="79"/>
      <c r="P74" s="79"/>
      <c r="Q74" s="79"/>
      <c r="R74" s="77"/>
      <c r="S74" s="77"/>
      <c r="T74" s="77"/>
      <c r="U74" s="77"/>
      <c r="V74" s="77"/>
      <c r="W74" s="79"/>
      <c r="X74" s="80">
        <f>X73+10</f>
        <v>45627</v>
      </c>
      <c r="Y74" s="79"/>
      <c r="Z74" s="79"/>
      <c r="AA74" s="79"/>
      <c r="AB74" s="79"/>
      <c r="AC74" s="79"/>
      <c r="AD74" s="79"/>
      <c r="AE74" s="77"/>
      <c r="AF74" s="77"/>
      <c r="AG74" s="77"/>
      <c r="AH74" s="77"/>
      <c r="AI74" s="77"/>
      <c r="AJ74" s="79"/>
      <c r="AK74" s="79"/>
      <c r="AL74" s="79"/>
      <c r="AM74" s="79"/>
      <c r="AN74" s="79"/>
      <c r="AO74" s="70"/>
      <c r="AP74" s="70"/>
      <c r="AQ74" s="70"/>
      <c r="AR74" s="70"/>
      <c r="AS74" s="70"/>
      <c r="AT74" s="79"/>
      <c r="AU74" s="79"/>
      <c r="AV74" s="79"/>
      <c r="AW74" s="79"/>
      <c r="AX74" s="79"/>
      <c r="AY74" s="68"/>
      <c r="AZ74" s="68"/>
      <c r="BA74" s="68"/>
      <c r="BB74" s="68"/>
      <c r="BC74" s="68"/>
      <c r="BD74" s="74"/>
      <c r="BE74" s="74"/>
      <c r="BF74" s="74"/>
      <c r="BG74" s="74"/>
      <c r="BH74" s="74"/>
      <c r="BI74" s="74"/>
      <c r="BJ74" s="83"/>
    </row>
    <row r="75" spans="1:62" ht="33">
      <c r="A75" s="76" t="s">
        <v>456</v>
      </c>
      <c r="B75" s="76">
        <v>2</v>
      </c>
      <c r="C75" s="79" t="s">
        <v>457</v>
      </c>
      <c r="D75" s="79" t="s">
        <v>458</v>
      </c>
      <c r="E75" s="77" t="s">
        <v>110</v>
      </c>
      <c r="F75" s="77" t="s">
        <v>110</v>
      </c>
      <c r="G75" s="77" t="s">
        <v>110</v>
      </c>
      <c r="H75" s="77" t="s">
        <v>110</v>
      </c>
      <c r="I75" s="77" t="s">
        <v>110</v>
      </c>
      <c r="J75" s="79" t="s">
        <v>110</v>
      </c>
      <c r="K75" s="79"/>
      <c r="L75" s="79"/>
      <c r="M75" s="79"/>
      <c r="N75" s="79"/>
      <c r="O75" s="79"/>
      <c r="P75" s="79"/>
      <c r="Q75" s="79"/>
      <c r="R75" s="78">
        <v>45098</v>
      </c>
      <c r="S75" s="77" t="s">
        <v>459</v>
      </c>
      <c r="T75" s="77">
        <v>17451850</v>
      </c>
      <c r="U75" s="77" t="s">
        <v>460</v>
      </c>
      <c r="V75" s="77">
        <v>22466817</v>
      </c>
      <c r="W75" s="80">
        <v>45434</v>
      </c>
      <c r="X75" s="79" t="s">
        <v>461</v>
      </c>
      <c r="Y75" s="79">
        <v>23619860</v>
      </c>
      <c r="Z75" s="79" t="s">
        <v>462</v>
      </c>
      <c r="AA75" s="79">
        <v>24554554</v>
      </c>
      <c r="AB75" s="80">
        <v>45485</v>
      </c>
      <c r="AC75" s="79" t="s">
        <v>463</v>
      </c>
      <c r="AD75" s="79">
        <v>24725855</v>
      </c>
      <c r="AE75" s="78">
        <v>45758</v>
      </c>
      <c r="AF75" s="77" t="s">
        <v>464</v>
      </c>
      <c r="AG75" s="77">
        <v>29233940</v>
      </c>
      <c r="AH75" s="77" t="s">
        <v>465</v>
      </c>
      <c r="AI75" s="77">
        <v>31407389</v>
      </c>
      <c r="AJ75" s="80">
        <v>45532</v>
      </c>
      <c r="AK75" s="79" t="s">
        <v>466</v>
      </c>
      <c r="AL75" s="79">
        <v>25464273</v>
      </c>
      <c r="AM75" s="79"/>
      <c r="AN75" s="79"/>
      <c r="AO75" s="70"/>
      <c r="AP75" s="70"/>
      <c r="AQ75" s="70"/>
      <c r="AR75" s="70"/>
      <c r="AS75" s="70"/>
      <c r="AT75" s="80">
        <v>45679</v>
      </c>
      <c r="AU75" s="79" t="s">
        <v>467</v>
      </c>
      <c r="AV75" s="79">
        <v>29233940</v>
      </c>
      <c r="AW75" s="79" t="s">
        <v>110</v>
      </c>
      <c r="AX75" s="79" t="s">
        <v>110</v>
      </c>
      <c r="AY75" s="68" t="s">
        <v>110</v>
      </c>
      <c r="AZ75" s="68" t="s">
        <v>110</v>
      </c>
      <c r="BA75" s="68" t="s">
        <v>110</v>
      </c>
      <c r="BB75" s="68" t="s">
        <v>468</v>
      </c>
      <c r="BC75" s="68">
        <v>32338720</v>
      </c>
      <c r="BD75" s="74"/>
      <c r="BE75" s="74"/>
      <c r="BF75" s="74"/>
      <c r="BG75" s="74"/>
      <c r="BH75" s="74"/>
      <c r="BI75" s="74"/>
      <c r="BJ75" s="83"/>
    </row>
    <row r="76" spans="1:62" ht="49.5">
      <c r="A76" s="109" t="s">
        <v>469</v>
      </c>
      <c r="B76" s="109">
        <v>3</v>
      </c>
      <c r="C76" s="79" t="s">
        <v>470</v>
      </c>
      <c r="D76" s="79" t="s">
        <v>471</v>
      </c>
      <c r="E76" s="77" t="s">
        <v>110</v>
      </c>
      <c r="F76" s="77" t="s">
        <v>110</v>
      </c>
      <c r="G76" s="77" t="s">
        <v>110</v>
      </c>
      <c r="H76" s="77" t="s">
        <v>110</v>
      </c>
      <c r="I76" s="77" t="s">
        <v>110</v>
      </c>
      <c r="J76" s="79" t="s">
        <v>110</v>
      </c>
      <c r="K76" s="79" t="s">
        <v>110</v>
      </c>
      <c r="L76" s="79" t="s">
        <v>110</v>
      </c>
      <c r="M76" s="79" t="s">
        <v>110</v>
      </c>
      <c r="N76" s="79" t="s">
        <v>110</v>
      </c>
      <c r="O76" s="79" t="s">
        <v>110</v>
      </c>
      <c r="P76" s="79" t="s">
        <v>110</v>
      </c>
      <c r="Q76" s="79" t="s">
        <v>110</v>
      </c>
      <c r="R76" s="78">
        <v>45565</v>
      </c>
      <c r="S76" s="77" t="s">
        <v>472</v>
      </c>
      <c r="T76" s="77">
        <v>26288241</v>
      </c>
      <c r="U76" s="77" t="s">
        <v>473</v>
      </c>
      <c r="V76" s="77">
        <v>28333131</v>
      </c>
      <c r="W76" s="80">
        <v>45666</v>
      </c>
      <c r="X76" s="79" t="s">
        <v>474</v>
      </c>
      <c r="Y76" s="79">
        <v>28909587</v>
      </c>
      <c r="Z76" s="79" t="s">
        <v>475</v>
      </c>
      <c r="AA76" s="79">
        <v>28936825</v>
      </c>
      <c r="AB76" s="80">
        <v>45667</v>
      </c>
      <c r="AC76" s="79" t="s">
        <v>476</v>
      </c>
      <c r="AD76" s="79">
        <v>29022302</v>
      </c>
      <c r="AE76" s="77"/>
      <c r="AF76" s="77"/>
      <c r="AG76" s="77"/>
      <c r="AH76" s="77"/>
      <c r="AI76" s="77"/>
      <c r="AJ76" s="79"/>
      <c r="AK76" s="79"/>
      <c r="AL76" s="79"/>
      <c r="AM76" s="79"/>
      <c r="AN76" s="79"/>
      <c r="AO76" s="70"/>
      <c r="AP76" s="70"/>
      <c r="AQ76" s="70"/>
      <c r="AR76" s="70"/>
      <c r="AS76" s="70"/>
      <c r="AT76" s="79"/>
      <c r="AU76" s="79"/>
      <c r="AV76" s="79"/>
      <c r="AW76" s="79"/>
      <c r="AX76" s="79"/>
      <c r="AY76" s="68"/>
      <c r="AZ76" s="68"/>
      <c r="BA76" s="68"/>
      <c r="BB76" s="68"/>
      <c r="BC76" s="68"/>
      <c r="BD76" s="74"/>
      <c r="BE76" s="74"/>
      <c r="BF76" s="74"/>
      <c r="BG76" s="74"/>
      <c r="BH76" s="74"/>
      <c r="BI76" s="74"/>
      <c r="BJ76" s="83"/>
    </row>
    <row r="77" spans="1:62" ht="33" hidden="1" outlineLevel="1">
      <c r="A77" s="109"/>
      <c r="B77" s="109"/>
      <c r="C77" s="79" t="s">
        <v>477</v>
      </c>
      <c r="D77" s="79" t="s">
        <v>478</v>
      </c>
      <c r="E77" s="77" t="s">
        <v>110</v>
      </c>
      <c r="F77" s="77" t="s">
        <v>110</v>
      </c>
      <c r="G77" s="77" t="s">
        <v>110</v>
      </c>
      <c r="H77" s="77" t="s">
        <v>110</v>
      </c>
      <c r="I77" s="77" t="s">
        <v>110</v>
      </c>
      <c r="J77" s="79" t="s">
        <v>110</v>
      </c>
      <c r="K77" s="79" t="s">
        <v>110</v>
      </c>
      <c r="L77" s="79" t="s">
        <v>110</v>
      </c>
      <c r="M77" s="79" t="s">
        <v>110</v>
      </c>
      <c r="N77" s="79" t="s">
        <v>110</v>
      </c>
      <c r="O77" s="79" t="s">
        <v>110</v>
      </c>
      <c r="P77" s="79" t="s">
        <v>110</v>
      </c>
      <c r="Q77" s="79" t="s">
        <v>110</v>
      </c>
      <c r="R77" s="78">
        <v>45646</v>
      </c>
      <c r="S77" s="77" t="s">
        <v>479</v>
      </c>
      <c r="T77" s="77">
        <v>28544180</v>
      </c>
      <c r="U77" s="77" t="s">
        <v>480</v>
      </c>
      <c r="V77" s="77">
        <v>29888801</v>
      </c>
      <c r="W77" s="79" t="s">
        <v>110</v>
      </c>
      <c r="X77" s="79" t="s">
        <v>110</v>
      </c>
      <c r="Y77" s="79" t="s">
        <v>110</v>
      </c>
      <c r="Z77" s="79" t="s">
        <v>481</v>
      </c>
      <c r="AA77" s="79">
        <v>30112727</v>
      </c>
      <c r="AB77" s="80">
        <v>45754</v>
      </c>
      <c r="AC77" s="79" t="s">
        <v>482</v>
      </c>
      <c r="AD77" s="79">
        <v>31040067</v>
      </c>
      <c r="AE77" s="77"/>
      <c r="AF77" s="77"/>
      <c r="AG77" s="77"/>
      <c r="AH77" s="77"/>
      <c r="AI77" s="77"/>
      <c r="AJ77" s="79"/>
      <c r="AK77" s="79"/>
      <c r="AL77" s="79"/>
      <c r="AM77" s="79"/>
      <c r="AN77" s="79"/>
      <c r="AO77" s="70"/>
      <c r="AP77" s="70"/>
      <c r="AQ77" s="70"/>
      <c r="AR77" s="70"/>
      <c r="AS77" s="70"/>
      <c r="AT77" s="79"/>
      <c r="AU77" s="79"/>
      <c r="AV77" s="79"/>
      <c r="AW77" s="79"/>
      <c r="AX77" s="79"/>
      <c r="AY77" s="68"/>
      <c r="AZ77" s="68"/>
      <c r="BA77" s="68"/>
      <c r="BB77" s="68"/>
      <c r="BC77" s="68"/>
      <c r="BD77" s="74"/>
      <c r="BE77" s="74"/>
      <c r="BF77" s="74"/>
      <c r="BG77" s="74"/>
      <c r="BH77" s="74"/>
      <c r="BI77" s="74"/>
      <c r="BJ77" s="83"/>
    </row>
    <row r="78" spans="1:62" ht="33" hidden="1" outlineLevel="1">
      <c r="A78" s="109"/>
      <c r="B78" s="109"/>
      <c r="C78" s="79" t="s">
        <v>483</v>
      </c>
      <c r="D78" s="79" t="s">
        <v>484</v>
      </c>
      <c r="E78" s="77" t="s">
        <v>110</v>
      </c>
      <c r="F78" s="77" t="s">
        <v>110</v>
      </c>
      <c r="G78" s="77" t="s">
        <v>110</v>
      </c>
      <c r="H78" s="77" t="s">
        <v>110</v>
      </c>
      <c r="I78" s="77" t="s">
        <v>110</v>
      </c>
      <c r="J78" s="79" t="s">
        <v>110</v>
      </c>
      <c r="K78" s="79" t="s">
        <v>110</v>
      </c>
      <c r="L78" s="79" t="s">
        <v>110</v>
      </c>
      <c r="M78" s="79" t="s">
        <v>110</v>
      </c>
      <c r="N78" s="79" t="s">
        <v>110</v>
      </c>
      <c r="O78" s="79" t="s">
        <v>110</v>
      </c>
      <c r="P78" s="79" t="s">
        <v>110</v>
      </c>
      <c r="Q78" s="79" t="s">
        <v>110</v>
      </c>
      <c r="R78" s="78">
        <v>45636</v>
      </c>
      <c r="S78" s="77" t="s">
        <v>485</v>
      </c>
      <c r="T78" s="77">
        <v>28265529</v>
      </c>
      <c r="U78" s="77"/>
      <c r="V78" s="77"/>
      <c r="W78" s="79"/>
      <c r="X78" s="79"/>
      <c r="Y78" s="79"/>
      <c r="Z78" s="79" t="s">
        <v>486</v>
      </c>
      <c r="AA78" s="79">
        <v>31106336</v>
      </c>
      <c r="AB78" s="80">
        <v>45757</v>
      </c>
      <c r="AC78" s="79" t="s">
        <v>487</v>
      </c>
      <c r="AD78" s="79">
        <v>31265668</v>
      </c>
      <c r="AE78" s="77"/>
      <c r="AF78" s="77"/>
      <c r="AG78" s="77"/>
      <c r="AH78" s="77"/>
      <c r="AI78" s="77"/>
      <c r="AJ78" s="79"/>
      <c r="AK78" s="79"/>
      <c r="AL78" s="79"/>
      <c r="AM78" s="79"/>
      <c r="AN78" s="79"/>
      <c r="AO78" s="70"/>
      <c r="AP78" s="70"/>
      <c r="AQ78" s="70"/>
      <c r="AR78" s="70"/>
      <c r="AS78" s="70"/>
      <c r="AT78" s="79"/>
      <c r="AU78" s="79"/>
      <c r="AV78" s="79"/>
      <c r="AW78" s="79"/>
      <c r="AX78" s="79"/>
      <c r="AY78" s="68"/>
      <c r="AZ78" s="68"/>
      <c r="BA78" s="68"/>
      <c r="BB78" s="68"/>
      <c r="BC78" s="68"/>
      <c r="BD78" s="74"/>
      <c r="BE78" s="74"/>
      <c r="BF78" s="74"/>
      <c r="BG78" s="74"/>
      <c r="BH78" s="74"/>
      <c r="BI78" s="74"/>
      <c r="BJ78" s="83"/>
    </row>
    <row r="79" spans="1:62" ht="33" hidden="1" outlineLevel="1">
      <c r="A79" s="109"/>
      <c r="B79" s="109"/>
      <c r="C79" s="79" t="s">
        <v>488</v>
      </c>
      <c r="D79" s="79" t="s">
        <v>489</v>
      </c>
      <c r="E79" s="77" t="s">
        <v>110</v>
      </c>
      <c r="F79" s="77" t="s">
        <v>110</v>
      </c>
      <c r="G79" s="77" t="s">
        <v>110</v>
      </c>
      <c r="H79" s="77" t="s">
        <v>110</v>
      </c>
      <c r="I79" s="77" t="s">
        <v>110</v>
      </c>
      <c r="J79" s="79" t="s">
        <v>110</v>
      </c>
      <c r="K79" s="79" t="s">
        <v>110</v>
      </c>
      <c r="L79" s="79" t="s">
        <v>110</v>
      </c>
      <c r="M79" s="79" t="s">
        <v>110</v>
      </c>
      <c r="N79" s="79" t="s">
        <v>110</v>
      </c>
      <c r="O79" s="79" t="s">
        <v>110</v>
      </c>
      <c r="P79" s="79" t="s">
        <v>110</v>
      </c>
      <c r="Q79" s="79" t="s">
        <v>110</v>
      </c>
      <c r="R79" s="78">
        <v>45674</v>
      </c>
      <c r="S79" s="77" t="s">
        <v>490</v>
      </c>
      <c r="T79" s="77">
        <v>29107805</v>
      </c>
      <c r="U79" s="77"/>
      <c r="V79" s="77"/>
      <c r="W79" s="79"/>
      <c r="X79" s="79"/>
      <c r="Y79" s="79"/>
      <c r="Z79" s="79" t="s">
        <v>491</v>
      </c>
      <c r="AA79" s="79">
        <v>31159594</v>
      </c>
      <c r="AB79" s="80">
        <v>45772</v>
      </c>
      <c r="AC79" s="79"/>
      <c r="AD79" s="79"/>
      <c r="AE79" s="77"/>
      <c r="AF79" s="77"/>
      <c r="AG79" s="77"/>
      <c r="AH79" s="77"/>
      <c r="AI79" s="77"/>
      <c r="AJ79" s="79"/>
      <c r="AK79" s="79"/>
      <c r="AL79" s="79"/>
      <c r="AM79" s="79"/>
      <c r="AN79" s="79"/>
      <c r="AO79" s="70"/>
      <c r="AP79" s="70"/>
      <c r="AQ79" s="70"/>
      <c r="AR79" s="70"/>
      <c r="AS79" s="70"/>
      <c r="AT79" s="79"/>
      <c r="AU79" s="79"/>
      <c r="AV79" s="79"/>
      <c r="AW79" s="79"/>
      <c r="AX79" s="79"/>
      <c r="AY79" s="68"/>
      <c r="AZ79" s="68"/>
      <c r="BA79" s="68"/>
      <c r="BB79" s="68"/>
      <c r="BC79" s="68"/>
      <c r="BD79" s="74"/>
      <c r="BE79" s="74"/>
      <c r="BF79" s="74"/>
      <c r="BG79" s="74"/>
      <c r="BH79" s="74"/>
      <c r="BI79" s="74"/>
      <c r="BJ79" s="83"/>
    </row>
    <row r="80" spans="1:62" hidden="1" outlineLevel="1">
      <c r="A80" s="109"/>
      <c r="B80" s="109"/>
      <c r="C80" s="79" t="s">
        <v>492</v>
      </c>
      <c r="D80" s="79" t="s">
        <v>493</v>
      </c>
      <c r="E80" s="77" t="s">
        <v>110</v>
      </c>
      <c r="F80" s="77" t="s">
        <v>110</v>
      </c>
      <c r="G80" s="77" t="s">
        <v>110</v>
      </c>
      <c r="H80" s="77" t="s">
        <v>110</v>
      </c>
      <c r="I80" s="77" t="s">
        <v>110</v>
      </c>
      <c r="J80" s="79" t="s">
        <v>110</v>
      </c>
      <c r="K80" s="79"/>
      <c r="L80" s="79"/>
      <c r="M80" s="79"/>
      <c r="N80" s="79"/>
      <c r="O80" s="79"/>
      <c r="P80" s="79"/>
      <c r="Q80" s="79"/>
      <c r="R80" s="78">
        <v>45714</v>
      </c>
      <c r="S80" s="77" t="s">
        <v>494</v>
      </c>
      <c r="T80" s="77">
        <v>30163952</v>
      </c>
      <c r="U80" s="77"/>
      <c r="V80" s="77"/>
      <c r="W80" s="79"/>
      <c r="X80" s="79"/>
      <c r="Y80" s="79"/>
      <c r="Z80" s="79"/>
      <c r="AA80" s="79"/>
      <c r="AB80" s="79"/>
      <c r="AC80" s="79"/>
      <c r="AD80" s="79"/>
      <c r="AE80" s="77"/>
      <c r="AF80" s="77"/>
      <c r="AG80" s="77"/>
      <c r="AH80" s="77"/>
      <c r="AI80" s="77"/>
      <c r="AJ80" s="79"/>
      <c r="AK80" s="79"/>
      <c r="AL80" s="79"/>
      <c r="AM80" s="79"/>
      <c r="AN80" s="79"/>
      <c r="AO80" s="70"/>
      <c r="AP80" s="70"/>
      <c r="AQ80" s="70"/>
      <c r="AR80" s="70"/>
      <c r="AS80" s="70"/>
      <c r="AT80" s="79"/>
      <c r="AU80" s="79"/>
      <c r="AV80" s="79"/>
      <c r="AW80" s="79"/>
      <c r="AX80" s="79"/>
      <c r="AY80" s="68"/>
      <c r="AZ80" s="68"/>
      <c r="BA80" s="68"/>
      <c r="BB80" s="68"/>
      <c r="BC80" s="68"/>
      <c r="BD80" s="74"/>
      <c r="BE80" s="74"/>
      <c r="BF80" s="74"/>
      <c r="BG80" s="74"/>
      <c r="BH80" s="74"/>
      <c r="BI80" s="74"/>
      <c r="BJ80" s="83"/>
    </row>
    <row r="81" spans="1:62" hidden="1" outlineLevel="1">
      <c r="A81" s="109"/>
      <c r="B81" s="109"/>
      <c r="C81" s="79" t="s">
        <v>495</v>
      </c>
      <c r="D81" s="79" t="s">
        <v>496</v>
      </c>
      <c r="E81" s="77" t="s">
        <v>110</v>
      </c>
      <c r="F81" s="77" t="s">
        <v>110</v>
      </c>
      <c r="G81" s="77" t="s">
        <v>110</v>
      </c>
      <c r="H81" s="77" t="s">
        <v>110</v>
      </c>
      <c r="I81" s="77" t="s">
        <v>110</v>
      </c>
      <c r="J81" s="79" t="s">
        <v>110</v>
      </c>
      <c r="K81" s="79"/>
      <c r="L81" s="79"/>
      <c r="M81" s="79"/>
      <c r="N81" s="79"/>
      <c r="O81" s="79"/>
      <c r="P81" s="79"/>
      <c r="Q81" s="79"/>
      <c r="R81" s="78">
        <v>45715</v>
      </c>
      <c r="S81" s="77" t="s">
        <v>497</v>
      </c>
      <c r="T81" s="77">
        <v>30179151</v>
      </c>
      <c r="U81" s="77"/>
      <c r="V81" s="77"/>
      <c r="W81" s="79"/>
      <c r="X81" s="79"/>
      <c r="Y81" s="79"/>
      <c r="Z81" s="79"/>
      <c r="AA81" s="79"/>
      <c r="AB81" s="79"/>
      <c r="AC81" s="79"/>
      <c r="AD81" s="79"/>
      <c r="AE81" s="77"/>
      <c r="AF81" s="77"/>
      <c r="AG81" s="77"/>
      <c r="AH81" s="77"/>
      <c r="AI81" s="77"/>
      <c r="AJ81" s="79"/>
      <c r="AK81" s="79"/>
      <c r="AL81" s="79"/>
      <c r="AM81" s="79"/>
      <c r="AN81" s="79"/>
      <c r="AO81" s="70"/>
      <c r="AP81" s="70"/>
      <c r="AQ81" s="70"/>
      <c r="AR81" s="70"/>
      <c r="AS81" s="70"/>
      <c r="AT81" s="79"/>
      <c r="AU81" s="79"/>
      <c r="AV81" s="79"/>
      <c r="AW81" s="79"/>
      <c r="AX81" s="79"/>
      <c r="AY81" s="68"/>
      <c r="AZ81" s="68"/>
      <c r="BA81" s="68"/>
      <c r="BB81" s="68"/>
      <c r="BC81" s="68"/>
      <c r="BD81" s="74"/>
      <c r="BE81" s="74"/>
      <c r="BF81" s="74"/>
      <c r="BG81" s="74"/>
      <c r="BH81" s="74"/>
      <c r="BI81" s="74"/>
      <c r="BJ81" s="83"/>
    </row>
    <row r="82" spans="1:62" ht="33" hidden="1" outlineLevel="1">
      <c r="A82" s="109"/>
      <c r="B82" s="109"/>
      <c r="C82" s="80" t="s">
        <v>498</v>
      </c>
      <c r="D82" s="79" t="s">
        <v>499</v>
      </c>
      <c r="E82" s="77" t="s">
        <v>110</v>
      </c>
      <c r="F82" s="77" t="s">
        <v>110</v>
      </c>
      <c r="G82" s="77" t="s">
        <v>110</v>
      </c>
      <c r="H82" s="77" t="s">
        <v>110</v>
      </c>
      <c r="I82" s="77" t="s">
        <v>110</v>
      </c>
      <c r="J82" s="79" t="s">
        <v>110</v>
      </c>
      <c r="K82" s="79"/>
      <c r="L82" s="79"/>
      <c r="M82" s="79"/>
      <c r="N82" s="79"/>
      <c r="O82" s="79"/>
      <c r="P82" s="79"/>
      <c r="Q82" s="79"/>
      <c r="R82" s="78">
        <v>45715</v>
      </c>
      <c r="S82" s="77" t="s">
        <v>500</v>
      </c>
      <c r="T82" s="77">
        <v>30180862</v>
      </c>
      <c r="U82" s="77"/>
      <c r="V82" s="77"/>
      <c r="W82" s="79"/>
      <c r="X82" s="79"/>
      <c r="Y82" s="79"/>
      <c r="Z82" s="79"/>
      <c r="AA82" s="79"/>
      <c r="AB82" s="79"/>
      <c r="AC82" s="79"/>
      <c r="AD82" s="79"/>
      <c r="AE82" s="77"/>
      <c r="AF82" s="77"/>
      <c r="AG82" s="77"/>
      <c r="AH82" s="77"/>
      <c r="AI82" s="77"/>
      <c r="AJ82" s="79"/>
      <c r="AK82" s="79"/>
      <c r="AL82" s="79"/>
      <c r="AM82" s="79"/>
      <c r="AN82" s="79"/>
      <c r="AO82" s="70"/>
      <c r="AP82" s="70"/>
      <c r="AQ82" s="70"/>
      <c r="AR82" s="70"/>
      <c r="AS82" s="70"/>
      <c r="AT82" s="79"/>
      <c r="AU82" s="79"/>
      <c r="AV82" s="79"/>
      <c r="AW82" s="79"/>
      <c r="AX82" s="79"/>
      <c r="AY82" s="68"/>
      <c r="AZ82" s="68"/>
      <c r="BA82" s="68"/>
      <c r="BB82" s="68"/>
      <c r="BC82" s="68"/>
      <c r="BD82" s="74"/>
      <c r="BE82" s="74"/>
      <c r="BF82" s="74"/>
      <c r="BG82" s="74"/>
      <c r="BH82" s="74"/>
      <c r="BI82" s="74"/>
      <c r="BJ82" s="83"/>
    </row>
    <row r="83" spans="1:62" ht="33" hidden="1" outlineLevel="1">
      <c r="A83" s="109"/>
      <c r="B83" s="109"/>
      <c r="C83" s="79" t="s">
        <v>501</v>
      </c>
      <c r="D83" s="79" t="s">
        <v>502</v>
      </c>
      <c r="E83" s="77" t="s">
        <v>110</v>
      </c>
      <c r="F83" s="77" t="s">
        <v>110</v>
      </c>
      <c r="G83" s="77" t="s">
        <v>110</v>
      </c>
      <c r="H83" s="77" t="s">
        <v>503</v>
      </c>
      <c r="I83" s="77" t="s">
        <v>110</v>
      </c>
      <c r="J83" s="79" t="s">
        <v>110</v>
      </c>
      <c r="K83" s="79"/>
      <c r="L83" s="79"/>
      <c r="M83" s="79"/>
      <c r="N83" s="79"/>
      <c r="O83" s="79"/>
      <c r="P83" s="79"/>
      <c r="Q83" s="79"/>
      <c r="R83" s="78">
        <v>45758</v>
      </c>
      <c r="S83" s="77" t="s">
        <v>504</v>
      </c>
      <c r="T83" s="77">
        <v>31284268</v>
      </c>
      <c r="U83" s="77"/>
      <c r="V83" s="77"/>
      <c r="W83" s="79"/>
      <c r="X83" s="79"/>
      <c r="Y83" s="79"/>
      <c r="Z83" s="79"/>
      <c r="AA83" s="79"/>
      <c r="AB83" s="79"/>
      <c r="AC83" s="79"/>
      <c r="AD83" s="79"/>
      <c r="AE83" s="77"/>
      <c r="AF83" s="77"/>
      <c r="AG83" s="77"/>
      <c r="AH83" s="77"/>
      <c r="AI83" s="77"/>
      <c r="AJ83" s="79"/>
      <c r="AK83" s="79"/>
      <c r="AL83" s="79"/>
      <c r="AM83" s="79"/>
      <c r="AN83" s="79"/>
      <c r="AO83" s="70"/>
      <c r="AP83" s="70"/>
      <c r="AQ83" s="70"/>
      <c r="AR83" s="70"/>
      <c r="AS83" s="70"/>
      <c r="AT83" s="79"/>
      <c r="AU83" s="79"/>
      <c r="AV83" s="79"/>
      <c r="AW83" s="79"/>
      <c r="AX83" s="79"/>
      <c r="AY83" s="68"/>
      <c r="AZ83" s="68"/>
      <c r="BA83" s="68"/>
      <c r="BB83" s="68"/>
      <c r="BC83" s="68"/>
      <c r="BD83" s="74"/>
      <c r="BE83" s="74"/>
      <c r="BF83" s="74"/>
      <c r="BG83" s="74"/>
      <c r="BH83" s="74"/>
      <c r="BI83" s="74"/>
      <c r="BJ83" s="83"/>
    </row>
    <row r="84" spans="1:62" ht="33" hidden="1" outlineLevel="1">
      <c r="A84" s="109"/>
      <c r="B84" s="109"/>
      <c r="C84" s="79" t="s">
        <v>505</v>
      </c>
      <c r="D84" s="79" t="s">
        <v>506</v>
      </c>
      <c r="E84" s="77" t="s">
        <v>110</v>
      </c>
      <c r="F84" s="77" t="s">
        <v>110</v>
      </c>
      <c r="G84" s="77" t="s">
        <v>110</v>
      </c>
      <c r="H84" s="77" t="s">
        <v>110</v>
      </c>
      <c r="I84" s="77" t="s">
        <v>110</v>
      </c>
      <c r="J84" s="79" t="s">
        <v>110</v>
      </c>
      <c r="K84" s="79"/>
      <c r="L84" s="79"/>
      <c r="M84" s="79"/>
      <c r="N84" s="79"/>
      <c r="O84" s="79"/>
      <c r="P84" s="79"/>
      <c r="Q84" s="79"/>
      <c r="R84" s="78">
        <v>45748</v>
      </c>
      <c r="S84" s="77" t="s">
        <v>507</v>
      </c>
      <c r="T84" s="77">
        <v>31028647</v>
      </c>
      <c r="U84" s="77"/>
      <c r="V84" s="77"/>
      <c r="W84" s="79"/>
      <c r="X84" s="79"/>
      <c r="Y84" s="79"/>
      <c r="Z84" s="79"/>
      <c r="AA84" s="79"/>
      <c r="AB84" s="79"/>
      <c r="AC84" s="79"/>
      <c r="AD84" s="79"/>
      <c r="AE84" s="77"/>
      <c r="AF84" s="77"/>
      <c r="AG84" s="77"/>
      <c r="AH84" s="77"/>
      <c r="AI84" s="77"/>
      <c r="AJ84" s="79"/>
      <c r="AK84" s="79"/>
      <c r="AL84" s="79"/>
      <c r="AM84" s="79"/>
      <c r="AN84" s="79"/>
      <c r="AO84" s="70"/>
      <c r="AP84" s="70"/>
      <c r="AQ84" s="70"/>
      <c r="AR84" s="70"/>
      <c r="AS84" s="70"/>
      <c r="AT84" s="79"/>
      <c r="AU84" s="79"/>
      <c r="AV84" s="79"/>
      <c r="AW84" s="79"/>
      <c r="AX84" s="79"/>
      <c r="AY84" s="68"/>
      <c r="AZ84" s="68"/>
      <c r="BA84" s="68"/>
      <c r="BB84" s="68"/>
      <c r="BC84" s="68"/>
      <c r="BD84" s="74"/>
      <c r="BE84" s="74"/>
      <c r="BF84" s="74"/>
      <c r="BG84" s="74"/>
      <c r="BH84" s="74"/>
      <c r="BI84" s="74"/>
      <c r="BJ84" s="83"/>
    </row>
    <row r="85" spans="1:62" ht="33" hidden="1" outlineLevel="1">
      <c r="A85" s="109"/>
      <c r="B85" s="109"/>
      <c r="C85" s="79" t="s">
        <v>508</v>
      </c>
      <c r="D85" s="79" t="s">
        <v>509</v>
      </c>
      <c r="E85" s="77" t="s">
        <v>110</v>
      </c>
      <c r="F85" s="77" t="s">
        <v>110</v>
      </c>
      <c r="G85" s="77" t="s">
        <v>110</v>
      </c>
      <c r="H85" s="77" t="s">
        <v>110</v>
      </c>
      <c r="I85" s="77" t="s">
        <v>110</v>
      </c>
      <c r="J85" s="79" t="s">
        <v>110</v>
      </c>
      <c r="K85" s="79"/>
      <c r="L85" s="79"/>
      <c r="M85" s="79"/>
      <c r="N85" s="79"/>
      <c r="O85" s="79"/>
      <c r="P85" s="79"/>
      <c r="Q85" s="79"/>
      <c r="R85" s="78">
        <v>45757</v>
      </c>
      <c r="S85" s="77" t="s">
        <v>510</v>
      </c>
      <c r="T85" s="77">
        <v>31260297</v>
      </c>
      <c r="U85" s="77"/>
      <c r="V85" s="77"/>
      <c r="W85" s="79"/>
      <c r="X85" s="79"/>
      <c r="Y85" s="79"/>
      <c r="Z85" s="79"/>
      <c r="AA85" s="79"/>
      <c r="AB85" s="79"/>
      <c r="AC85" s="79"/>
      <c r="AD85" s="79"/>
      <c r="AE85" s="77"/>
      <c r="AF85" s="77"/>
      <c r="AG85" s="77"/>
      <c r="AH85" s="77"/>
      <c r="AI85" s="77"/>
      <c r="AJ85" s="79"/>
      <c r="AK85" s="79"/>
      <c r="AL85" s="79"/>
      <c r="AM85" s="79"/>
      <c r="AN85" s="79"/>
      <c r="AO85" s="70"/>
      <c r="AP85" s="70"/>
      <c r="AQ85" s="70"/>
      <c r="AR85" s="70"/>
      <c r="AS85" s="70"/>
      <c r="AT85" s="79"/>
      <c r="AU85" s="79"/>
      <c r="AV85" s="79"/>
      <c r="AW85" s="79"/>
      <c r="AX85" s="79"/>
      <c r="AY85" s="68"/>
      <c r="AZ85" s="68"/>
      <c r="BA85" s="68"/>
      <c r="BB85" s="68"/>
      <c r="BC85" s="68"/>
      <c r="BD85" s="74"/>
      <c r="BE85" s="74"/>
      <c r="BF85" s="74"/>
      <c r="BG85" s="74"/>
      <c r="BH85" s="74"/>
      <c r="BI85" s="74"/>
      <c r="BJ85" s="83"/>
    </row>
    <row r="86" spans="1:62" ht="33" hidden="1" outlineLevel="1">
      <c r="A86" s="109"/>
      <c r="B86" s="109"/>
      <c r="C86" s="79" t="s">
        <v>511</v>
      </c>
      <c r="D86" s="79" t="s">
        <v>512</v>
      </c>
      <c r="E86" s="77" t="s">
        <v>110</v>
      </c>
      <c r="F86" s="77" t="s">
        <v>110</v>
      </c>
      <c r="G86" s="77" t="s">
        <v>110</v>
      </c>
      <c r="H86" s="77" t="s">
        <v>110</v>
      </c>
      <c r="I86" s="77" t="s">
        <v>110</v>
      </c>
      <c r="J86" s="79" t="s">
        <v>110</v>
      </c>
      <c r="K86" s="79"/>
      <c r="L86" s="79"/>
      <c r="M86" s="79"/>
      <c r="N86" s="79"/>
      <c r="O86" s="79"/>
      <c r="P86" s="79"/>
      <c r="Q86" s="79"/>
      <c r="R86" s="78">
        <v>45735</v>
      </c>
      <c r="S86" s="77" t="s">
        <v>513</v>
      </c>
      <c r="T86" s="77">
        <v>30682014</v>
      </c>
      <c r="U86" s="77"/>
      <c r="V86" s="77"/>
      <c r="W86" s="79"/>
      <c r="X86" s="79"/>
      <c r="Y86" s="79"/>
      <c r="Z86" s="79"/>
      <c r="AA86" s="79"/>
      <c r="AB86" s="79"/>
      <c r="AC86" s="79"/>
      <c r="AD86" s="79"/>
      <c r="AE86" s="77"/>
      <c r="AF86" s="77"/>
      <c r="AG86" s="77"/>
      <c r="AH86" s="77"/>
      <c r="AI86" s="77"/>
      <c r="AJ86" s="79"/>
      <c r="AK86" s="79"/>
      <c r="AL86" s="79"/>
      <c r="AM86" s="79"/>
      <c r="AN86" s="79"/>
      <c r="AO86" s="70"/>
      <c r="AP86" s="70"/>
      <c r="AQ86" s="70"/>
      <c r="AR86" s="70"/>
      <c r="AS86" s="70"/>
      <c r="AT86" s="79"/>
      <c r="AU86" s="79"/>
      <c r="AV86" s="79"/>
      <c r="AW86" s="79"/>
      <c r="AX86" s="79"/>
      <c r="AY86" s="68"/>
      <c r="AZ86" s="68"/>
      <c r="BA86" s="68"/>
      <c r="BB86" s="68"/>
      <c r="BC86" s="68"/>
      <c r="BD86" s="74"/>
      <c r="BE86" s="74"/>
      <c r="BF86" s="74"/>
      <c r="BG86" s="74"/>
      <c r="BH86" s="74"/>
      <c r="BI86" s="74"/>
      <c r="BJ86" s="83"/>
    </row>
    <row r="87" spans="1:62" ht="33" hidden="1" outlineLevel="1">
      <c r="A87" s="109"/>
      <c r="B87" s="109"/>
      <c r="C87" s="79" t="s">
        <v>514</v>
      </c>
      <c r="D87" s="79" t="s">
        <v>515</v>
      </c>
      <c r="E87" s="77" t="s">
        <v>110</v>
      </c>
      <c r="F87" s="77" t="s">
        <v>110</v>
      </c>
      <c r="G87" s="77" t="s">
        <v>110</v>
      </c>
      <c r="H87" s="77" t="s">
        <v>110</v>
      </c>
      <c r="I87" s="77" t="s">
        <v>110</v>
      </c>
      <c r="J87" s="79" t="s">
        <v>110</v>
      </c>
      <c r="K87" s="79"/>
      <c r="L87" s="79"/>
      <c r="M87" s="79"/>
      <c r="N87" s="79"/>
      <c r="O87" s="79"/>
      <c r="P87" s="79"/>
      <c r="Q87" s="79"/>
      <c r="R87" s="78">
        <v>45728</v>
      </c>
      <c r="S87" s="77" t="s">
        <v>516</v>
      </c>
      <c r="T87" s="77">
        <v>30475632</v>
      </c>
      <c r="U87" s="77"/>
      <c r="V87" s="77"/>
      <c r="W87" s="79"/>
      <c r="X87" s="79"/>
      <c r="Y87" s="79"/>
      <c r="Z87" s="79"/>
      <c r="AA87" s="79"/>
      <c r="AB87" s="79"/>
      <c r="AC87" s="79"/>
      <c r="AD87" s="79"/>
      <c r="AE87" s="77"/>
      <c r="AF87" s="77"/>
      <c r="AG87" s="77"/>
      <c r="AH87" s="77"/>
      <c r="AI87" s="77"/>
      <c r="AJ87" s="79"/>
      <c r="AK87" s="79"/>
      <c r="AL87" s="79"/>
      <c r="AM87" s="79"/>
      <c r="AN87" s="79"/>
      <c r="AO87" s="70"/>
      <c r="AP87" s="70"/>
      <c r="AQ87" s="70"/>
      <c r="AR87" s="70"/>
      <c r="AS87" s="70"/>
      <c r="AT87" s="79"/>
      <c r="AU87" s="79"/>
      <c r="AV87" s="79"/>
      <c r="AW87" s="79"/>
      <c r="AX87" s="79"/>
      <c r="AY87" s="68"/>
      <c r="AZ87" s="68"/>
      <c r="BA87" s="68"/>
      <c r="BB87" s="68"/>
      <c r="BC87" s="68"/>
      <c r="BD87" s="74"/>
      <c r="BE87" s="74"/>
      <c r="BF87" s="74"/>
      <c r="BG87" s="74"/>
      <c r="BH87" s="74"/>
      <c r="BI87" s="74"/>
      <c r="BJ87" s="83"/>
    </row>
    <row r="88" spans="1:62" ht="33" collapsed="1">
      <c r="A88" s="76" t="s">
        <v>517</v>
      </c>
      <c r="B88" s="76">
        <v>3</v>
      </c>
      <c r="C88" s="79" t="s">
        <v>518</v>
      </c>
      <c r="D88" s="79" t="s">
        <v>519</v>
      </c>
      <c r="E88" s="78">
        <v>45726</v>
      </c>
      <c r="F88" s="77" t="s">
        <v>520</v>
      </c>
      <c r="G88" s="77">
        <v>30406054</v>
      </c>
      <c r="H88" s="77" t="s">
        <v>521</v>
      </c>
      <c r="I88" s="77">
        <v>31925099</v>
      </c>
      <c r="J88" s="79"/>
      <c r="K88" s="79"/>
      <c r="L88" s="79"/>
      <c r="M88" s="79"/>
      <c r="N88" s="79"/>
      <c r="O88" s="79"/>
      <c r="P88" s="79"/>
      <c r="Q88" s="79"/>
      <c r="R88" s="77"/>
      <c r="S88" s="77"/>
      <c r="T88" s="77"/>
      <c r="U88" s="77"/>
      <c r="V88" s="77"/>
      <c r="W88" s="79"/>
      <c r="X88" s="79"/>
      <c r="Y88" s="79"/>
      <c r="Z88" s="79"/>
      <c r="AA88" s="79"/>
      <c r="AB88" s="79"/>
      <c r="AC88" s="79"/>
      <c r="AD88" s="79"/>
      <c r="AE88" s="77"/>
      <c r="AF88" s="77"/>
      <c r="AG88" s="77"/>
      <c r="AH88" s="77"/>
      <c r="AI88" s="77"/>
      <c r="AJ88" s="79"/>
      <c r="AK88" s="79"/>
      <c r="AL88" s="79"/>
      <c r="AM88" s="79"/>
      <c r="AN88" s="79"/>
      <c r="AO88" s="70"/>
      <c r="AP88" s="70"/>
      <c r="AQ88" s="70"/>
      <c r="AR88" s="70"/>
      <c r="AS88" s="70"/>
      <c r="AT88" s="79"/>
      <c r="AU88" s="79"/>
      <c r="AV88" s="79"/>
      <c r="AW88" s="79"/>
      <c r="AX88" s="79"/>
      <c r="AY88" s="68"/>
      <c r="AZ88" s="68"/>
      <c r="BA88" s="68"/>
      <c r="BB88" s="68"/>
      <c r="BC88" s="68"/>
      <c r="BD88" s="74"/>
      <c r="BE88" s="74"/>
      <c r="BF88" s="74"/>
      <c r="BG88" s="74"/>
      <c r="BH88" s="74"/>
      <c r="BI88" s="74"/>
      <c r="BJ88" s="83"/>
    </row>
    <row r="89" spans="1:62" ht="33">
      <c r="A89" s="76" t="s">
        <v>522</v>
      </c>
      <c r="B89" s="76">
        <v>3</v>
      </c>
      <c r="C89" s="79" t="s">
        <v>518</v>
      </c>
      <c r="D89" s="79" t="s">
        <v>523</v>
      </c>
      <c r="E89" s="78">
        <v>45728</v>
      </c>
      <c r="F89" s="77" t="s">
        <v>524</v>
      </c>
      <c r="G89" s="77">
        <v>30474348</v>
      </c>
      <c r="H89" s="77" t="s">
        <v>525</v>
      </c>
      <c r="I89" s="77">
        <v>31020467</v>
      </c>
      <c r="J89" s="79"/>
      <c r="K89" s="79"/>
      <c r="L89" s="79"/>
      <c r="M89" s="79"/>
      <c r="N89" s="79"/>
      <c r="O89" s="79"/>
      <c r="P89" s="79"/>
      <c r="Q89" s="79"/>
      <c r="R89" s="77"/>
      <c r="S89" s="77"/>
      <c r="T89" s="77"/>
      <c r="U89" s="77"/>
      <c r="V89" s="77"/>
      <c r="W89" s="79"/>
      <c r="X89" s="79"/>
      <c r="Y89" s="79"/>
      <c r="Z89" s="79"/>
      <c r="AA89" s="79"/>
      <c r="AB89" s="79"/>
      <c r="AC89" s="79"/>
      <c r="AD89" s="79"/>
      <c r="AE89" s="77"/>
      <c r="AF89" s="77"/>
      <c r="AG89" s="77"/>
      <c r="AH89" s="77"/>
      <c r="AI89" s="77"/>
      <c r="AJ89" s="79"/>
      <c r="AK89" s="79"/>
      <c r="AL89" s="79"/>
      <c r="AM89" s="79"/>
      <c r="AN89" s="79"/>
      <c r="AO89" s="70"/>
      <c r="AP89" s="70"/>
      <c r="AQ89" s="70"/>
      <c r="AR89" s="70"/>
      <c r="AS89" s="70"/>
      <c r="AT89" s="79"/>
      <c r="AU89" s="79"/>
      <c r="AV89" s="79"/>
      <c r="AW89" s="79"/>
      <c r="AX89" s="79"/>
      <c r="AY89" s="68"/>
      <c r="AZ89" s="68"/>
      <c r="BA89" s="68"/>
      <c r="BB89" s="68"/>
      <c r="BC89" s="68"/>
      <c r="BD89" s="74"/>
      <c r="BE89" s="74"/>
      <c r="BF89" s="74"/>
      <c r="BG89" s="74"/>
      <c r="BH89" s="74"/>
      <c r="BI89" s="74"/>
      <c r="BJ89" s="83"/>
    </row>
    <row r="90" spans="1:62" ht="33">
      <c r="A90" s="76" t="s">
        <v>526</v>
      </c>
      <c r="B90" s="76">
        <v>3</v>
      </c>
      <c r="C90" s="79" t="s">
        <v>518</v>
      </c>
      <c r="D90" s="79" t="s">
        <v>527</v>
      </c>
      <c r="E90" s="78">
        <v>45672</v>
      </c>
      <c r="F90" s="77" t="s">
        <v>528</v>
      </c>
      <c r="G90" s="77">
        <v>29073527</v>
      </c>
      <c r="H90" s="77" t="s">
        <v>529</v>
      </c>
      <c r="I90" s="77">
        <v>30054295</v>
      </c>
      <c r="J90" s="79"/>
      <c r="K90" s="79"/>
      <c r="L90" s="79"/>
      <c r="M90" s="79"/>
      <c r="N90" s="79"/>
      <c r="O90" s="79"/>
      <c r="P90" s="79"/>
      <c r="Q90" s="79"/>
      <c r="R90" s="77"/>
      <c r="S90" s="77"/>
      <c r="T90" s="77"/>
      <c r="U90" s="77"/>
      <c r="V90" s="77"/>
      <c r="W90" s="79"/>
      <c r="X90" s="79"/>
      <c r="Y90" s="79"/>
      <c r="Z90" s="79"/>
      <c r="AA90" s="79"/>
      <c r="AB90" s="79"/>
      <c r="AC90" s="79"/>
      <c r="AD90" s="79"/>
      <c r="AE90" s="77"/>
      <c r="AF90" s="77"/>
      <c r="AG90" s="77"/>
      <c r="AH90" s="77"/>
      <c r="AI90" s="77"/>
      <c r="AJ90" s="79"/>
      <c r="AK90" s="79"/>
      <c r="AL90" s="79"/>
      <c r="AM90" s="79"/>
      <c r="AN90" s="79"/>
      <c r="AO90" s="70"/>
      <c r="AP90" s="70"/>
      <c r="AQ90" s="70"/>
      <c r="AR90" s="70"/>
      <c r="AS90" s="70"/>
      <c r="AT90" s="79"/>
      <c r="AU90" s="79"/>
      <c r="AV90" s="79"/>
      <c r="AW90" s="79"/>
      <c r="AX90" s="79"/>
      <c r="AY90" s="68"/>
      <c r="AZ90" s="68"/>
      <c r="BA90" s="68"/>
      <c r="BB90" s="68"/>
      <c r="BC90" s="68"/>
      <c r="BD90" s="74"/>
      <c r="BE90" s="74"/>
      <c r="BF90" s="74"/>
      <c r="BG90" s="74"/>
      <c r="BH90" s="74"/>
      <c r="BI90" s="74"/>
      <c r="BJ90" s="83"/>
    </row>
  </sheetData>
  <mergeCells count="32">
    <mergeCell ref="A76:A87"/>
    <mergeCell ref="B52:B53"/>
    <mergeCell ref="B54:B62"/>
    <mergeCell ref="B63:B70"/>
    <mergeCell ref="B76:B87"/>
    <mergeCell ref="A54:A70"/>
    <mergeCell ref="A52:A53"/>
    <mergeCell ref="A71:A73"/>
    <mergeCell ref="A1:BI1"/>
    <mergeCell ref="BD2:BI2"/>
    <mergeCell ref="E2:I2"/>
    <mergeCell ref="R2:V2"/>
    <mergeCell ref="AE2:AI2"/>
    <mergeCell ref="J2:Q2"/>
    <mergeCell ref="AJ2:AN2"/>
    <mergeCell ref="AO2:AS2"/>
    <mergeCell ref="AT2:AX2"/>
    <mergeCell ref="AY2:BC2"/>
    <mergeCell ref="W2:AD2"/>
    <mergeCell ref="A2:A3"/>
    <mergeCell ref="A4:A21"/>
    <mergeCell ref="D2:D3"/>
    <mergeCell ref="A49:A50"/>
    <mergeCell ref="A34:A48"/>
    <mergeCell ref="B4:B21"/>
    <mergeCell ref="B22:B33"/>
    <mergeCell ref="B34:B46"/>
    <mergeCell ref="B47:B48"/>
    <mergeCell ref="B49:B50"/>
    <mergeCell ref="B2:B3"/>
    <mergeCell ref="C2:C3"/>
    <mergeCell ref="A22:A33"/>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3F5F1-B75A-41E7-879F-43C31E3450F1}">
  <sheetPr>
    <tabColor rgb="FFFF0000"/>
  </sheetPr>
  <dimension ref="A5:Y57"/>
  <sheetViews>
    <sheetView showGridLines="0" topLeftCell="I1" zoomScaleNormal="100" workbookViewId="0">
      <selection activeCell="L37" sqref="L37"/>
    </sheetView>
  </sheetViews>
  <sheetFormatPr defaultRowHeight="16.5"/>
  <cols>
    <col min="1" max="1" width="0" hidden="1" customWidth="1"/>
    <col min="2" max="2" width="5.5" hidden="1" customWidth="1"/>
    <col min="3" max="3" width="21.75" hidden="1" customWidth="1"/>
    <col min="4" max="4" width="42" hidden="1" customWidth="1"/>
    <col min="5" max="5" width="18" hidden="1" customWidth="1"/>
    <col min="6" max="6" width="18.5" hidden="1" customWidth="1"/>
    <col min="7" max="7" width="12.25" hidden="1" customWidth="1"/>
    <col min="8" max="8" width="10.25" hidden="1" customWidth="1"/>
    <col min="10" max="10" width="11" customWidth="1"/>
    <col min="11" max="11" width="11.375" customWidth="1"/>
    <col min="12" max="12" width="20.375" customWidth="1"/>
    <col min="13" max="13" width="15.875" customWidth="1"/>
    <col min="14" max="14" width="24.375" customWidth="1"/>
    <col min="15" max="15" width="10.25" customWidth="1"/>
    <col min="16" max="16" width="16.5" customWidth="1"/>
    <col min="17" max="17" width="92.75" customWidth="1"/>
    <col min="19" max="20" width="9.25" hidden="1" customWidth="1"/>
    <col min="21" max="21" width="20.375" hidden="1" customWidth="1"/>
    <col min="22" max="22" width="15.875" hidden="1" customWidth="1"/>
    <col min="23" max="23" width="10.625" hidden="1" customWidth="1"/>
    <col min="24" max="24" width="9.25" customWidth="1"/>
  </cols>
  <sheetData>
    <row r="5" spans="1:25">
      <c r="A5" s="130" t="s">
        <v>530</v>
      </c>
      <c r="B5" s="130"/>
      <c r="C5" s="130"/>
      <c r="D5" s="130"/>
      <c r="E5" s="130"/>
      <c r="F5" s="130"/>
      <c r="G5" s="130"/>
      <c r="H5" s="130"/>
    </row>
    <row r="6" spans="1:25">
      <c r="A6" s="123" t="s">
        <v>84</v>
      </c>
      <c r="B6" s="124"/>
      <c r="C6" s="8" t="s">
        <v>531</v>
      </c>
      <c r="D6" s="8" t="s">
        <v>532</v>
      </c>
      <c r="E6" s="8" t="s">
        <v>533</v>
      </c>
      <c r="F6" s="8" t="s">
        <v>534</v>
      </c>
      <c r="G6" s="8" t="s">
        <v>535</v>
      </c>
      <c r="H6" s="8" t="s">
        <v>1</v>
      </c>
      <c r="J6" s="131" t="s">
        <v>84</v>
      </c>
      <c r="K6" s="131"/>
      <c r="L6" s="42" t="s">
        <v>531</v>
      </c>
      <c r="M6" s="42" t="s">
        <v>532</v>
      </c>
      <c r="N6" s="42" t="s">
        <v>536</v>
      </c>
      <c r="O6" s="42" t="s">
        <v>537</v>
      </c>
      <c r="P6" s="42" t="s">
        <v>538</v>
      </c>
      <c r="S6" s="122" t="s">
        <v>539</v>
      </c>
      <c r="T6" s="122"/>
      <c r="U6" s="122"/>
      <c r="V6" s="122"/>
      <c r="W6" s="122"/>
      <c r="Y6" t="s">
        <v>540</v>
      </c>
    </row>
    <row r="7" spans="1:25" ht="15" customHeight="1">
      <c r="A7" s="125" t="s">
        <v>541</v>
      </c>
      <c r="B7" s="2" t="s">
        <v>542</v>
      </c>
      <c r="C7" s="3">
        <v>45160</v>
      </c>
      <c r="D7" s="3">
        <f>C7+366</f>
        <v>45526</v>
      </c>
      <c r="E7" s="3">
        <v>45525</v>
      </c>
      <c r="F7" s="1" t="s">
        <v>540</v>
      </c>
      <c r="G7" s="3">
        <f>E7+90</f>
        <v>45615</v>
      </c>
      <c r="H7" s="1" t="str">
        <f t="shared" ref="H7:H32" si="0">IF(F7="","",IF(F7="S","PENDENTE","ENVIADO"))</f>
        <v>PENDENTE</v>
      </c>
      <c r="J7" s="129" t="s">
        <v>541</v>
      </c>
      <c r="K7" s="2" t="s">
        <v>542</v>
      </c>
      <c r="L7" s="3">
        <v>45160</v>
      </c>
      <c r="M7" s="3">
        <f>L7+366</f>
        <v>45526</v>
      </c>
      <c r="N7" s="3">
        <v>45548</v>
      </c>
      <c r="O7" s="1" t="str">
        <f t="shared" ref="O7:O36" ca="1" si="1">IF(AND(OR(N7&gt;M7,N7=""),TODAY()&gt;M7),"ATRASO","NO PRAZO")</f>
        <v>ATRASO</v>
      </c>
      <c r="P7" s="54">
        <f ca="1">IF(AND(O7="ATRASO",N7=""),TODAY()-M7,IF(O7="ATRASO",N7-M7,""))</f>
        <v>22</v>
      </c>
      <c r="S7" s="49" t="s">
        <v>84</v>
      </c>
      <c r="T7" s="50"/>
      <c r="U7" s="8" t="s">
        <v>531</v>
      </c>
      <c r="V7" s="8" t="s">
        <v>532</v>
      </c>
      <c r="W7" s="8" t="s">
        <v>1</v>
      </c>
      <c r="Y7" t="s">
        <v>543</v>
      </c>
    </row>
    <row r="8" spans="1:25">
      <c r="A8" s="126"/>
      <c r="B8" s="2" t="s">
        <v>544</v>
      </c>
      <c r="C8" s="3">
        <v>45160</v>
      </c>
      <c r="D8" s="3">
        <f t="shared" ref="D8:D32" si="2">C8+366</f>
        <v>45526</v>
      </c>
      <c r="E8" s="3">
        <v>45525</v>
      </c>
      <c r="F8" s="1" t="s">
        <v>540</v>
      </c>
      <c r="G8" s="3">
        <f t="shared" ref="G8:G13" si="3">E8+90</f>
        <v>45615</v>
      </c>
      <c r="H8" s="1" t="str">
        <f t="shared" si="0"/>
        <v>PENDENTE</v>
      </c>
      <c r="J8" s="129"/>
      <c r="K8" s="43" t="s">
        <v>544</v>
      </c>
      <c r="L8" s="44">
        <v>45160</v>
      </c>
      <c r="M8" s="44">
        <f t="shared" ref="M8:M33" si="4">L8+366</f>
        <v>45526</v>
      </c>
      <c r="N8" s="44">
        <v>45548</v>
      </c>
      <c r="O8" s="1" t="str">
        <f t="shared" ca="1" si="1"/>
        <v>ATRASO</v>
      </c>
      <c r="P8" s="30">
        <f t="shared" ref="P8:P33" ca="1" si="5">IF(AND(O8="ATRASO",N8=""),TODAY()-M8,IF(O8="ATRASO",N8-M8,""))</f>
        <v>22</v>
      </c>
      <c r="S8" s="31" t="s">
        <v>541</v>
      </c>
      <c r="T8" s="2" t="s">
        <v>542</v>
      </c>
      <c r="U8" s="3">
        <v>45160</v>
      </c>
      <c r="V8" s="3">
        <f>U8+366</f>
        <v>45526</v>
      </c>
      <c r="W8" s="1" t="str">
        <f t="shared" ref="W8:W15" ca="1" si="6">IF(V8&lt;TODAY(),"ATRASADO","A VENCER")</f>
        <v>ATRASADO</v>
      </c>
    </row>
    <row r="9" spans="1:25">
      <c r="A9" s="126"/>
      <c r="B9" s="2" t="s">
        <v>545</v>
      </c>
      <c r="C9" s="3">
        <v>45160</v>
      </c>
      <c r="D9" s="3">
        <f t="shared" si="2"/>
        <v>45526</v>
      </c>
      <c r="E9" s="3">
        <v>45525</v>
      </c>
      <c r="F9" s="1" t="s">
        <v>540</v>
      </c>
      <c r="G9" s="3">
        <f t="shared" si="3"/>
        <v>45615</v>
      </c>
      <c r="H9" s="1" t="str">
        <f>IF(F9="","",IF(F9="S","PENDENTE","ENVIADO"))</f>
        <v>PENDENTE</v>
      </c>
      <c r="J9" s="129"/>
      <c r="K9" s="2" t="s">
        <v>545</v>
      </c>
      <c r="L9" s="3">
        <v>45160</v>
      </c>
      <c r="M9" s="3">
        <f t="shared" si="4"/>
        <v>45526</v>
      </c>
      <c r="N9" s="3">
        <v>45532</v>
      </c>
      <c r="O9" s="1" t="str">
        <f t="shared" ca="1" si="1"/>
        <v>ATRASO</v>
      </c>
      <c r="P9" s="54">
        <f t="shared" ca="1" si="5"/>
        <v>6</v>
      </c>
      <c r="S9" s="48" t="s">
        <v>541</v>
      </c>
      <c r="T9" s="43" t="s">
        <v>544</v>
      </c>
      <c r="U9" s="44">
        <v>45160</v>
      </c>
      <c r="V9" s="44">
        <f>U9+366</f>
        <v>45526</v>
      </c>
      <c r="W9" s="1" t="str">
        <f t="shared" ca="1" si="6"/>
        <v>ATRASADO</v>
      </c>
    </row>
    <row r="10" spans="1:25">
      <c r="A10" s="126"/>
      <c r="B10" s="2" t="s">
        <v>546</v>
      </c>
      <c r="C10" s="3">
        <v>45160</v>
      </c>
      <c r="D10" s="3">
        <f t="shared" si="2"/>
        <v>45526</v>
      </c>
      <c r="E10" s="3">
        <v>45525</v>
      </c>
      <c r="F10" s="1" t="s">
        <v>540</v>
      </c>
      <c r="G10" s="3">
        <f t="shared" si="3"/>
        <v>45615</v>
      </c>
      <c r="H10" s="1" t="str">
        <f t="shared" si="0"/>
        <v>PENDENTE</v>
      </c>
      <c r="J10" s="129"/>
      <c r="K10" s="43" t="s">
        <v>546</v>
      </c>
      <c r="L10" s="44">
        <v>45160</v>
      </c>
      <c r="M10" s="44">
        <f t="shared" si="4"/>
        <v>45526</v>
      </c>
      <c r="N10" s="44">
        <v>45532</v>
      </c>
      <c r="O10" s="1" t="str">
        <f t="shared" ca="1" si="1"/>
        <v>ATRASO</v>
      </c>
      <c r="P10" s="30">
        <f t="shared" ca="1" si="5"/>
        <v>6</v>
      </c>
      <c r="S10" s="31" t="s">
        <v>541</v>
      </c>
      <c r="T10" s="2" t="s">
        <v>547</v>
      </c>
      <c r="U10" s="3">
        <v>45160</v>
      </c>
      <c r="V10" s="3">
        <f>U10+366</f>
        <v>45526</v>
      </c>
      <c r="W10" s="1" t="str">
        <f t="shared" ca="1" si="6"/>
        <v>ATRASADO</v>
      </c>
    </row>
    <row r="11" spans="1:25">
      <c r="A11" s="126"/>
      <c r="B11" s="2" t="s">
        <v>547</v>
      </c>
      <c r="C11" s="3">
        <v>45160</v>
      </c>
      <c r="D11" s="3">
        <f t="shared" si="2"/>
        <v>45526</v>
      </c>
      <c r="E11" s="3">
        <v>45525</v>
      </c>
      <c r="F11" s="1" t="s">
        <v>540</v>
      </c>
      <c r="G11" s="3">
        <f t="shared" si="3"/>
        <v>45615</v>
      </c>
      <c r="H11" s="1" t="str">
        <f t="shared" si="0"/>
        <v>PENDENTE</v>
      </c>
      <c r="J11" s="129"/>
      <c r="K11" s="2" t="s">
        <v>547</v>
      </c>
      <c r="L11" s="3">
        <v>45160</v>
      </c>
      <c r="M11" s="3">
        <f t="shared" si="4"/>
        <v>45526</v>
      </c>
      <c r="N11" s="3">
        <v>45548</v>
      </c>
      <c r="O11" s="1" t="str">
        <f t="shared" ca="1" si="1"/>
        <v>ATRASO</v>
      </c>
      <c r="P11" s="54">
        <f ca="1">IF(AND(O11="ATRASO",N11=""),TODAY()-M11,IF(O11="ATRASO",N11-M11,""))</f>
        <v>22</v>
      </c>
      <c r="Q11" t="s">
        <v>548</v>
      </c>
      <c r="S11" s="48" t="s">
        <v>541</v>
      </c>
      <c r="T11" s="43" t="s">
        <v>549</v>
      </c>
      <c r="U11" s="44">
        <v>45160</v>
      </c>
      <c r="V11" s="44">
        <f>U11+366</f>
        <v>45526</v>
      </c>
      <c r="W11" s="1" t="str">
        <f t="shared" ca="1" si="6"/>
        <v>ATRASADO</v>
      </c>
    </row>
    <row r="12" spans="1:25">
      <c r="A12" s="126"/>
      <c r="B12" s="2" t="s">
        <v>550</v>
      </c>
      <c r="C12" s="3">
        <v>45160</v>
      </c>
      <c r="D12" s="3">
        <f t="shared" si="2"/>
        <v>45526</v>
      </c>
      <c r="E12" s="3">
        <v>45524</v>
      </c>
      <c r="F12" s="1" t="s">
        <v>543</v>
      </c>
      <c r="G12" s="1"/>
      <c r="H12" s="1" t="str">
        <f t="shared" si="0"/>
        <v>ENVIADO</v>
      </c>
      <c r="J12" s="129"/>
      <c r="K12" s="43" t="s">
        <v>550</v>
      </c>
      <c r="L12" s="44">
        <v>45160</v>
      </c>
      <c r="M12" s="44">
        <f t="shared" si="4"/>
        <v>45526</v>
      </c>
      <c r="N12" s="44">
        <f t="shared" ref="N12:N16" si="7">IF(OR(F12="S",F12=""),"",E12)</f>
        <v>45524</v>
      </c>
      <c r="O12" s="1" t="str">
        <f t="shared" ca="1" si="1"/>
        <v>NO PRAZO</v>
      </c>
      <c r="P12" s="30" t="str">
        <f t="shared" ca="1" si="5"/>
        <v/>
      </c>
      <c r="S12" s="31" t="s">
        <v>541</v>
      </c>
      <c r="T12" s="2" t="s">
        <v>551</v>
      </c>
      <c r="U12" s="3">
        <v>45366</v>
      </c>
      <c r="V12" s="3">
        <v>45556</v>
      </c>
      <c r="W12" s="1" t="str">
        <f t="shared" ca="1" si="6"/>
        <v>ATRASADO</v>
      </c>
    </row>
    <row r="13" spans="1:25">
      <c r="A13" s="126"/>
      <c r="B13" s="2" t="s">
        <v>549</v>
      </c>
      <c r="C13" s="3">
        <v>45160</v>
      </c>
      <c r="D13" s="3">
        <f t="shared" si="2"/>
        <v>45526</v>
      </c>
      <c r="E13" s="3">
        <v>45525</v>
      </c>
      <c r="F13" s="1" t="s">
        <v>540</v>
      </c>
      <c r="G13" s="3">
        <f t="shared" si="3"/>
        <v>45615</v>
      </c>
      <c r="H13" s="1" t="str">
        <f t="shared" si="0"/>
        <v>PENDENTE</v>
      </c>
      <c r="J13" s="129"/>
      <c r="K13" s="2" t="s">
        <v>549</v>
      </c>
      <c r="L13" s="3">
        <v>45160</v>
      </c>
      <c r="M13" s="3">
        <f t="shared" si="4"/>
        <v>45526</v>
      </c>
      <c r="N13" s="3">
        <v>45546</v>
      </c>
      <c r="O13" s="1" t="str">
        <f t="shared" ca="1" si="1"/>
        <v>ATRASO</v>
      </c>
      <c r="P13" s="54">
        <f t="shared" ca="1" si="5"/>
        <v>20</v>
      </c>
      <c r="S13" s="48" t="s">
        <v>552</v>
      </c>
      <c r="T13" s="43" t="s">
        <v>553</v>
      </c>
      <c r="U13" s="44">
        <v>45564</v>
      </c>
      <c r="V13" s="44">
        <v>45556</v>
      </c>
      <c r="W13" s="1" t="str">
        <f t="shared" ca="1" si="6"/>
        <v>ATRASADO</v>
      </c>
    </row>
    <row r="14" spans="1:25">
      <c r="A14" s="126"/>
      <c r="B14" s="2" t="s">
        <v>554</v>
      </c>
      <c r="C14" s="3">
        <v>45160</v>
      </c>
      <c r="D14" s="3">
        <f t="shared" si="2"/>
        <v>45526</v>
      </c>
      <c r="E14" s="3">
        <v>45524</v>
      </c>
      <c r="F14" s="1" t="s">
        <v>543</v>
      </c>
      <c r="G14" s="1"/>
      <c r="H14" s="1" t="str">
        <f t="shared" si="0"/>
        <v>ENVIADO</v>
      </c>
      <c r="J14" s="129"/>
      <c r="K14" s="43" t="s">
        <v>554</v>
      </c>
      <c r="L14" s="44">
        <v>45160</v>
      </c>
      <c r="M14" s="44">
        <f t="shared" si="4"/>
        <v>45526</v>
      </c>
      <c r="N14" s="44">
        <f t="shared" si="7"/>
        <v>45524</v>
      </c>
      <c r="O14" s="1" t="str">
        <f t="shared" ca="1" si="1"/>
        <v>NO PRAZO</v>
      </c>
      <c r="P14" s="30" t="str">
        <f t="shared" ca="1" si="5"/>
        <v/>
      </c>
      <c r="S14" s="31" t="s">
        <v>552</v>
      </c>
      <c r="T14" s="2" t="s">
        <v>555</v>
      </c>
      <c r="U14" s="3">
        <v>45166</v>
      </c>
      <c r="V14" s="3">
        <f>U14+366</f>
        <v>45532</v>
      </c>
      <c r="W14" s="1" t="str">
        <f t="shared" ca="1" si="6"/>
        <v>ATRASADO</v>
      </c>
    </row>
    <row r="15" spans="1:25">
      <c r="A15" s="126"/>
      <c r="B15" s="2" t="s">
        <v>556</v>
      </c>
      <c r="C15" s="3">
        <v>45160</v>
      </c>
      <c r="D15" s="3">
        <f t="shared" si="2"/>
        <v>45526</v>
      </c>
      <c r="E15" s="3">
        <v>45525</v>
      </c>
      <c r="F15" s="1" t="s">
        <v>543</v>
      </c>
      <c r="G15" s="1"/>
      <c r="H15" s="1" t="str">
        <f t="shared" si="0"/>
        <v>ENVIADO</v>
      </c>
      <c r="J15" s="129"/>
      <c r="K15" s="2" t="s">
        <v>556</v>
      </c>
      <c r="L15" s="3">
        <v>45160</v>
      </c>
      <c r="M15" s="3">
        <f t="shared" si="4"/>
        <v>45526</v>
      </c>
      <c r="N15" s="3">
        <f t="shared" si="7"/>
        <v>45525</v>
      </c>
      <c r="O15" s="1" t="str">
        <f t="shared" ca="1" si="1"/>
        <v>NO PRAZO</v>
      </c>
      <c r="P15" s="54" t="str">
        <f t="shared" ca="1" si="5"/>
        <v/>
      </c>
      <c r="S15" s="48" t="s">
        <v>552</v>
      </c>
      <c r="T15" s="43" t="s">
        <v>557</v>
      </c>
      <c r="U15" s="44">
        <v>45166</v>
      </c>
      <c r="V15" s="44">
        <f>U15+366</f>
        <v>45532</v>
      </c>
      <c r="W15" s="1" t="str">
        <f t="shared" ca="1" si="6"/>
        <v>ATRASADO</v>
      </c>
    </row>
    <row r="16" spans="1:25">
      <c r="A16" s="126"/>
      <c r="B16" s="2" t="s">
        <v>553</v>
      </c>
      <c r="C16" s="3">
        <v>45160</v>
      </c>
      <c r="D16" s="3">
        <f t="shared" si="2"/>
        <v>45526</v>
      </c>
      <c r="E16" s="3">
        <v>45525</v>
      </c>
      <c r="F16" s="1" t="s">
        <v>543</v>
      </c>
      <c r="G16" s="1"/>
      <c r="H16" s="1" t="str">
        <f t="shared" si="0"/>
        <v>ENVIADO</v>
      </c>
      <c r="J16" s="129"/>
      <c r="K16" s="43" t="s">
        <v>553</v>
      </c>
      <c r="L16" s="44">
        <v>45160</v>
      </c>
      <c r="M16" s="44">
        <f t="shared" si="4"/>
        <v>45526</v>
      </c>
      <c r="N16" s="44">
        <f t="shared" si="7"/>
        <v>45525</v>
      </c>
      <c r="O16" s="1" t="str">
        <f t="shared" ca="1" si="1"/>
        <v>NO PRAZO</v>
      </c>
      <c r="P16" s="30" t="str">
        <f t="shared" ca="1" si="5"/>
        <v/>
      </c>
    </row>
    <row r="17" spans="1:16">
      <c r="A17" s="126"/>
      <c r="B17" s="2" t="s">
        <v>558</v>
      </c>
      <c r="C17" s="3">
        <v>45160</v>
      </c>
      <c r="D17" s="3">
        <f t="shared" si="2"/>
        <v>45526</v>
      </c>
      <c r="E17" s="3">
        <v>45525</v>
      </c>
      <c r="F17" s="1" t="s">
        <v>540</v>
      </c>
      <c r="G17" s="3">
        <f t="shared" ref="G17:G18" si="8">E17+90</f>
        <v>45615</v>
      </c>
      <c r="H17" s="1" t="str">
        <f t="shared" si="0"/>
        <v>PENDENTE</v>
      </c>
      <c r="J17" s="129"/>
      <c r="K17" s="2" t="s">
        <v>558</v>
      </c>
      <c r="L17" s="3">
        <v>45160</v>
      </c>
      <c r="M17" s="3">
        <f t="shared" si="4"/>
        <v>45526</v>
      </c>
      <c r="N17" s="3">
        <v>45532</v>
      </c>
      <c r="O17" s="1" t="str">
        <f t="shared" ca="1" si="1"/>
        <v>ATRASO</v>
      </c>
      <c r="P17" s="54">
        <f t="shared" ca="1" si="5"/>
        <v>6</v>
      </c>
    </row>
    <row r="18" spans="1:16">
      <c r="A18" s="126"/>
      <c r="B18" s="2" t="s">
        <v>559</v>
      </c>
      <c r="C18" s="3">
        <v>45160</v>
      </c>
      <c r="D18" s="3">
        <f t="shared" si="2"/>
        <v>45526</v>
      </c>
      <c r="E18" s="3">
        <v>45525</v>
      </c>
      <c r="F18" s="1" t="s">
        <v>540</v>
      </c>
      <c r="G18" s="3">
        <f t="shared" si="8"/>
        <v>45615</v>
      </c>
      <c r="H18" s="1" t="str">
        <f t="shared" si="0"/>
        <v>PENDENTE</v>
      </c>
      <c r="J18" s="129"/>
      <c r="K18" s="43" t="s">
        <v>559</v>
      </c>
      <c r="L18" s="44">
        <v>45160</v>
      </c>
      <c r="M18" s="44">
        <f t="shared" si="4"/>
        <v>45526</v>
      </c>
      <c r="N18" s="44">
        <v>45532</v>
      </c>
      <c r="O18" s="1" t="str">
        <f t="shared" ca="1" si="1"/>
        <v>ATRASO</v>
      </c>
      <c r="P18" s="30">
        <f t="shared" ca="1" si="5"/>
        <v>6</v>
      </c>
    </row>
    <row r="19" spans="1:16">
      <c r="A19" s="126"/>
      <c r="B19" s="2" t="s">
        <v>551</v>
      </c>
      <c r="C19" s="3">
        <v>45366</v>
      </c>
      <c r="D19" s="3">
        <f t="shared" si="2"/>
        <v>45732</v>
      </c>
      <c r="E19" s="3"/>
      <c r="F19" s="1"/>
      <c r="G19" s="1"/>
      <c r="H19" s="1" t="str">
        <f t="shared" si="0"/>
        <v/>
      </c>
      <c r="J19" s="129"/>
      <c r="K19" s="2" t="s">
        <v>551</v>
      </c>
      <c r="L19" s="3">
        <v>45366</v>
      </c>
      <c r="M19" s="3">
        <f t="shared" si="4"/>
        <v>45732</v>
      </c>
      <c r="N19" s="3">
        <v>45555</v>
      </c>
      <c r="O19" s="1" t="str">
        <f t="shared" ca="1" si="1"/>
        <v>NO PRAZO</v>
      </c>
      <c r="P19" s="54" t="str">
        <f t="shared" ca="1" si="5"/>
        <v/>
      </c>
    </row>
    <row r="20" spans="1:16">
      <c r="A20" s="126"/>
      <c r="B20" s="2" t="s">
        <v>560</v>
      </c>
      <c r="C20" s="3">
        <v>45160</v>
      </c>
      <c r="D20" s="3">
        <f t="shared" si="2"/>
        <v>45526</v>
      </c>
      <c r="E20" s="3">
        <v>45525</v>
      </c>
      <c r="F20" s="1" t="s">
        <v>543</v>
      </c>
      <c r="G20" s="1"/>
      <c r="H20" s="1" t="str">
        <f t="shared" si="0"/>
        <v>ENVIADO</v>
      </c>
      <c r="J20" s="129"/>
      <c r="K20" s="43" t="s">
        <v>557</v>
      </c>
      <c r="L20" s="44">
        <v>45351</v>
      </c>
      <c r="M20" s="44">
        <f t="shared" si="4"/>
        <v>45717</v>
      </c>
      <c r="N20" s="3">
        <v>45555</v>
      </c>
      <c r="O20" s="1" t="str">
        <f t="shared" ca="1" si="1"/>
        <v>NO PRAZO</v>
      </c>
      <c r="P20" s="30" t="str">
        <f t="shared" ca="1" si="5"/>
        <v/>
      </c>
    </row>
    <row r="21" spans="1:16">
      <c r="A21" s="126"/>
      <c r="B21" s="2" t="s">
        <v>561</v>
      </c>
      <c r="C21" s="3">
        <v>45160</v>
      </c>
      <c r="D21" s="3">
        <f t="shared" si="2"/>
        <v>45526</v>
      </c>
      <c r="E21" s="3">
        <v>45524</v>
      </c>
      <c r="F21" s="1" t="s">
        <v>543</v>
      </c>
      <c r="G21" s="1"/>
      <c r="H21" s="1" t="str">
        <f t="shared" si="0"/>
        <v>ENVIADO</v>
      </c>
      <c r="J21" s="129"/>
      <c r="K21" s="2" t="s">
        <v>560</v>
      </c>
      <c r="L21" s="3">
        <v>45160</v>
      </c>
      <c r="M21" s="3">
        <f t="shared" si="4"/>
        <v>45526</v>
      </c>
      <c r="N21" s="3">
        <f>IF(OR(F20="S",F20=""),"",E20)</f>
        <v>45525</v>
      </c>
      <c r="O21" s="1" t="str">
        <f t="shared" ca="1" si="1"/>
        <v>NO PRAZO</v>
      </c>
      <c r="P21" s="54" t="str">
        <f t="shared" ca="1" si="5"/>
        <v/>
      </c>
    </row>
    <row r="22" spans="1:16" ht="17.25" thickBot="1">
      <c r="A22" s="127"/>
      <c r="B22" s="4" t="s">
        <v>562</v>
      </c>
      <c r="C22" s="5">
        <v>45160</v>
      </c>
      <c r="D22" s="3">
        <f t="shared" si="2"/>
        <v>45526</v>
      </c>
      <c r="E22" s="3">
        <v>45524</v>
      </c>
      <c r="F22" s="1" t="s">
        <v>543</v>
      </c>
      <c r="G22" s="1"/>
      <c r="H22" s="1" t="str">
        <f t="shared" si="0"/>
        <v>ENVIADO</v>
      </c>
      <c r="J22" s="129"/>
      <c r="K22" s="43" t="s">
        <v>561</v>
      </c>
      <c r="L22" s="44">
        <v>45160</v>
      </c>
      <c r="M22" s="44">
        <f t="shared" si="4"/>
        <v>45526</v>
      </c>
      <c r="N22" s="44">
        <f>IF(OR(F21="S",F21=""),"",E21)</f>
        <v>45524</v>
      </c>
      <c r="O22" s="1" t="str">
        <f t="shared" ca="1" si="1"/>
        <v>NO PRAZO</v>
      </c>
      <c r="P22" s="30" t="str">
        <f t="shared" ca="1" si="5"/>
        <v/>
      </c>
    </row>
    <row r="23" spans="1:16" ht="17.25" thickTop="1">
      <c r="A23" s="128" t="s">
        <v>552</v>
      </c>
      <c r="B23" s="6" t="s">
        <v>550</v>
      </c>
      <c r="C23" s="7">
        <v>45166</v>
      </c>
      <c r="D23" s="3">
        <f t="shared" si="2"/>
        <v>45532</v>
      </c>
      <c r="E23" s="3">
        <v>45524</v>
      </c>
      <c r="F23" s="1"/>
      <c r="G23" s="3"/>
      <c r="H23" s="1" t="str">
        <f t="shared" si="0"/>
        <v/>
      </c>
      <c r="J23" s="129"/>
      <c r="K23" s="2" t="s">
        <v>562</v>
      </c>
      <c r="L23" s="3">
        <v>45160</v>
      </c>
      <c r="M23" s="3">
        <f t="shared" si="4"/>
        <v>45526</v>
      </c>
      <c r="N23" s="3">
        <f>IF(OR(F22="S",F22=""),"",E22)</f>
        <v>45524</v>
      </c>
      <c r="O23" s="1" t="str">
        <f t="shared" ca="1" si="1"/>
        <v>NO PRAZO</v>
      </c>
      <c r="P23" s="54" t="str">
        <f t="shared" ca="1" si="5"/>
        <v/>
      </c>
    </row>
    <row r="24" spans="1:16">
      <c r="A24" s="129"/>
      <c r="B24" s="2" t="s">
        <v>549</v>
      </c>
      <c r="C24" s="3">
        <v>45242</v>
      </c>
      <c r="D24" s="3">
        <f t="shared" si="2"/>
        <v>45608</v>
      </c>
      <c r="E24" s="3">
        <v>45524</v>
      </c>
      <c r="F24" s="1" t="s">
        <v>543</v>
      </c>
      <c r="G24" s="1"/>
      <c r="H24" s="1" t="str">
        <f t="shared" si="0"/>
        <v>ENVIADO</v>
      </c>
      <c r="J24" s="129" t="s">
        <v>552</v>
      </c>
      <c r="K24" s="43" t="s">
        <v>550</v>
      </c>
      <c r="L24" s="44">
        <v>45166</v>
      </c>
      <c r="M24" s="44">
        <f t="shared" si="4"/>
        <v>45532</v>
      </c>
      <c r="N24" s="44">
        <v>45524</v>
      </c>
      <c r="O24" s="1" t="str">
        <f t="shared" ca="1" si="1"/>
        <v>NO PRAZO</v>
      </c>
      <c r="P24" s="30" t="str">
        <f t="shared" ca="1" si="5"/>
        <v/>
      </c>
    </row>
    <row r="25" spans="1:16">
      <c r="A25" s="129"/>
      <c r="B25" s="2" t="s">
        <v>554</v>
      </c>
      <c r="C25" s="3">
        <v>45250</v>
      </c>
      <c r="D25" s="3">
        <f t="shared" si="2"/>
        <v>45616</v>
      </c>
      <c r="E25" s="3">
        <v>45524</v>
      </c>
      <c r="F25" s="1" t="s">
        <v>543</v>
      </c>
      <c r="G25" s="1"/>
      <c r="H25" s="1" t="str">
        <f t="shared" si="0"/>
        <v>ENVIADO</v>
      </c>
      <c r="J25" s="129"/>
      <c r="K25" s="2" t="s">
        <v>549</v>
      </c>
      <c r="L25" s="3">
        <v>45242</v>
      </c>
      <c r="M25" s="3">
        <f t="shared" si="4"/>
        <v>45608</v>
      </c>
      <c r="N25" s="3">
        <f>IF(OR(F24="S",F24=""),"",E24)</f>
        <v>45524</v>
      </c>
      <c r="O25" s="1" t="str">
        <f t="shared" ca="1" si="1"/>
        <v>NO PRAZO</v>
      </c>
      <c r="P25" s="54" t="str">
        <f t="shared" ca="1" si="5"/>
        <v/>
      </c>
    </row>
    <row r="26" spans="1:16">
      <c r="A26" s="129"/>
      <c r="B26" s="2" t="s">
        <v>556</v>
      </c>
      <c r="C26" s="3">
        <v>45166</v>
      </c>
      <c r="D26" s="3">
        <f t="shared" si="2"/>
        <v>45532</v>
      </c>
      <c r="E26" s="3">
        <v>45525</v>
      </c>
      <c r="F26" s="1" t="s">
        <v>543</v>
      </c>
      <c r="G26" s="1"/>
      <c r="H26" s="1" t="str">
        <f t="shared" si="0"/>
        <v>ENVIADO</v>
      </c>
      <c r="J26" s="129"/>
      <c r="K26" s="43" t="s">
        <v>554</v>
      </c>
      <c r="L26" s="44">
        <v>45250</v>
      </c>
      <c r="M26" s="44">
        <f t="shared" si="4"/>
        <v>45616</v>
      </c>
      <c r="N26" s="44">
        <f>IF(OR(F25="S",F25=""),"",E25)</f>
        <v>45524</v>
      </c>
      <c r="O26" s="1" t="str">
        <f t="shared" ca="1" si="1"/>
        <v>NO PRAZO</v>
      </c>
      <c r="P26" s="30" t="str">
        <f t="shared" ca="1" si="5"/>
        <v/>
      </c>
    </row>
    <row r="27" spans="1:16">
      <c r="A27" s="129"/>
      <c r="B27" s="2" t="s">
        <v>553</v>
      </c>
      <c r="C27" s="3">
        <v>45198</v>
      </c>
      <c r="D27" s="3">
        <f t="shared" si="2"/>
        <v>45564</v>
      </c>
      <c r="E27" s="3"/>
      <c r="F27" s="1"/>
      <c r="G27" s="1"/>
      <c r="H27" s="1" t="str">
        <f t="shared" si="0"/>
        <v/>
      </c>
      <c r="J27" s="129"/>
      <c r="K27" s="2" t="s">
        <v>556</v>
      </c>
      <c r="L27" s="3">
        <v>45166</v>
      </c>
      <c r="M27" s="3">
        <f t="shared" si="4"/>
        <v>45532</v>
      </c>
      <c r="N27" s="3">
        <f>IF(OR(F26="S",F26=""),"",E26)</f>
        <v>45525</v>
      </c>
      <c r="O27" s="1" t="str">
        <f t="shared" ca="1" si="1"/>
        <v>NO PRAZO</v>
      </c>
      <c r="P27" s="54" t="str">
        <f t="shared" ca="1" si="5"/>
        <v/>
      </c>
    </row>
    <row r="28" spans="1:16">
      <c r="A28" s="129"/>
      <c r="B28" s="2" t="s">
        <v>558</v>
      </c>
      <c r="C28" s="3">
        <v>45174</v>
      </c>
      <c r="D28" s="3">
        <f t="shared" si="2"/>
        <v>45540</v>
      </c>
      <c r="E28" s="3">
        <v>45532</v>
      </c>
      <c r="F28" s="1"/>
      <c r="G28" s="1"/>
      <c r="H28" s="1" t="str">
        <f t="shared" si="0"/>
        <v/>
      </c>
      <c r="J28" s="129"/>
      <c r="K28" s="43" t="s">
        <v>553</v>
      </c>
      <c r="L28" s="44">
        <v>45198</v>
      </c>
      <c r="M28" s="44">
        <v>45563</v>
      </c>
      <c r="N28" s="63"/>
      <c r="O28" s="1" t="str">
        <f t="shared" ca="1" si="1"/>
        <v>ATRASO</v>
      </c>
      <c r="P28" s="54">
        <f ca="1">IF(AND(O28="ATRASO",N28=""),TODAY()-M28,IF(O28="ATRASO",N28-M28,""))</f>
        <v>436</v>
      </c>
    </row>
    <row r="29" spans="1:16">
      <c r="A29" s="129"/>
      <c r="B29" s="2" t="s">
        <v>559</v>
      </c>
      <c r="C29" s="3">
        <v>45182</v>
      </c>
      <c r="D29" s="3">
        <f t="shared" si="2"/>
        <v>45548</v>
      </c>
      <c r="E29" s="3">
        <v>45525</v>
      </c>
      <c r="F29" s="1" t="s">
        <v>543</v>
      </c>
      <c r="G29" s="1"/>
      <c r="H29" s="1" t="str">
        <f t="shared" si="0"/>
        <v>ENVIADO</v>
      </c>
      <c r="J29" s="129"/>
      <c r="K29" s="2" t="s">
        <v>558</v>
      </c>
      <c r="L29" s="3">
        <v>45174</v>
      </c>
      <c r="M29" s="3">
        <f t="shared" si="4"/>
        <v>45540</v>
      </c>
      <c r="N29" s="3">
        <v>45532</v>
      </c>
      <c r="O29" s="1" t="str">
        <f t="shared" ca="1" si="1"/>
        <v>NO PRAZO</v>
      </c>
      <c r="P29" s="54" t="str">
        <f t="shared" ca="1" si="5"/>
        <v/>
      </c>
    </row>
    <row r="30" spans="1:16">
      <c r="A30" s="129"/>
      <c r="B30" s="2" t="s">
        <v>551</v>
      </c>
      <c r="C30" s="3">
        <v>45166</v>
      </c>
      <c r="D30" s="3">
        <f t="shared" si="2"/>
        <v>45532</v>
      </c>
      <c r="E30" s="3"/>
      <c r="F30" s="1"/>
      <c r="G30" s="1"/>
      <c r="H30" s="1" t="str">
        <f t="shared" si="0"/>
        <v/>
      </c>
      <c r="J30" s="129"/>
      <c r="K30" s="43" t="s">
        <v>559</v>
      </c>
      <c r="L30" s="44">
        <v>45182</v>
      </c>
      <c r="M30" s="44">
        <f t="shared" si="4"/>
        <v>45548</v>
      </c>
      <c r="N30" s="44">
        <f>IF(OR(F29="S",F29=""),"",E29)</f>
        <v>45525</v>
      </c>
      <c r="O30" s="1" t="str">
        <f t="shared" ca="1" si="1"/>
        <v>NO PRAZO</v>
      </c>
      <c r="P30" s="54" t="str">
        <f t="shared" ca="1" si="5"/>
        <v/>
      </c>
    </row>
    <row r="31" spans="1:16">
      <c r="A31" s="129"/>
      <c r="B31" s="2" t="s">
        <v>555</v>
      </c>
      <c r="C31" s="3">
        <v>45166</v>
      </c>
      <c r="D31" s="3">
        <f t="shared" si="2"/>
        <v>45532</v>
      </c>
      <c r="E31" s="3"/>
      <c r="F31" s="1"/>
      <c r="G31" s="1"/>
      <c r="H31" s="1" t="str">
        <f t="shared" si="0"/>
        <v/>
      </c>
      <c r="J31" s="129"/>
      <c r="K31" s="2" t="s">
        <v>551</v>
      </c>
      <c r="L31" s="3">
        <v>45166</v>
      </c>
      <c r="M31" s="3">
        <f t="shared" si="4"/>
        <v>45532</v>
      </c>
      <c r="N31" s="3">
        <v>45532</v>
      </c>
      <c r="O31" s="1" t="str">
        <f t="shared" ca="1" si="1"/>
        <v>NO PRAZO</v>
      </c>
      <c r="P31" s="54" t="str">
        <f t="shared" ca="1" si="5"/>
        <v/>
      </c>
    </row>
    <row r="32" spans="1:16">
      <c r="A32" s="129"/>
      <c r="B32" s="2" t="s">
        <v>557</v>
      </c>
      <c r="C32" s="3">
        <v>45166</v>
      </c>
      <c r="D32" s="3">
        <f t="shared" si="2"/>
        <v>45532</v>
      </c>
      <c r="E32" s="3"/>
      <c r="F32" s="1"/>
      <c r="G32" s="1"/>
      <c r="H32" s="1" t="str">
        <f t="shared" si="0"/>
        <v/>
      </c>
      <c r="J32" s="129"/>
      <c r="K32" s="43" t="s">
        <v>555</v>
      </c>
      <c r="L32" s="44">
        <v>45166</v>
      </c>
      <c r="M32" s="44">
        <f t="shared" si="4"/>
        <v>45532</v>
      </c>
      <c r="N32" s="44">
        <v>45548</v>
      </c>
      <c r="O32" s="1" t="str">
        <f t="shared" ca="1" si="1"/>
        <v>ATRASO</v>
      </c>
      <c r="P32" s="54">
        <f t="shared" ca="1" si="5"/>
        <v>16</v>
      </c>
    </row>
    <row r="33" spans="1:17">
      <c r="J33" s="129"/>
      <c r="K33" s="2" t="s">
        <v>557</v>
      </c>
      <c r="L33" s="3">
        <v>45166</v>
      </c>
      <c r="M33" s="3">
        <f t="shared" si="4"/>
        <v>45532</v>
      </c>
      <c r="N33" s="3">
        <v>45548</v>
      </c>
      <c r="O33" s="1" t="str">
        <f t="shared" ca="1" si="1"/>
        <v>ATRASO</v>
      </c>
      <c r="P33" s="54">
        <f t="shared" ca="1" si="5"/>
        <v>16</v>
      </c>
    </row>
    <row r="34" spans="1:17" ht="33">
      <c r="A34" s="132" t="s">
        <v>563</v>
      </c>
      <c r="B34" s="132"/>
      <c r="C34" s="132"/>
      <c r="D34" s="132"/>
      <c r="J34" s="129" t="s">
        <v>301</v>
      </c>
      <c r="K34" s="45" t="s">
        <v>564</v>
      </c>
      <c r="L34" s="47" t="s">
        <v>110</v>
      </c>
      <c r="M34" s="47">
        <v>45556</v>
      </c>
      <c r="N34" s="47"/>
      <c r="O34" s="1" t="str">
        <f t="shared" ca="1" si="1"/>
        <v>ATRASO</v>
      </c>
      <c r="P34" s="30"/>
      <c r="Q34" s="121" t="s">
        <v>565</v>
      </c>
    </row>
    <row r="35" spans="1:17" ht="49.5">
      <c r="A35" s="130" t="s">
        <v>84</v>
      </c>
      <c r="B35" s="130"/>
      <c r="C35" s="30" t="s">
        <v>566</v>
      </c>
      <c r="D35" s="30" t="s">
        <v>567</v>
      </c>
      <c r="J35" s="129"/>
      <c r="K35" s="46" t="s">
        <v>568</v>
      </c>
      <c r="L35" s="41" t="s">
        <v>110</v>
      </c>
      <c r="M35" s="41">
        <v>45556</v>
      </c>
      <c r="N35" s="41"/>
      <c r="O35" s="1" t="str">
        <f t="shared" ca="1" si="1"/>
        <v>ATRASO</v>
      </c>
      <c r="P35" s="54"/>
      <c r="Q35" s="121"/>
    </row>
    <row r="36" spans="1:17">
      <c r="A36" s="30"/>
      <c r="B36" s="30"/>
      <c r="C36" s="30"/>
      <c r="D36" s="30"/>
      <c r="J36" s="64" t="s">
        <v>308</v>
      </c>
      <c r="K36" s="65" t="s">
        <v>569</v>
      </c>
      <c r="L36" s="41" t="s">
        <v>110</v>
      </c>
      <c r="M36" s="41"/>
      <c r="N36" s="41"/>
      <c r="O36" s="1" t="str">
        <f t="shared" ca="1" si="1"/>
        <v>ATRASO</v>
      </c>
      <c r="P36" s="54"/>
      <c r="Q36" s="58"/>
    </row>
    <row r="37" spans="1:17">
      <c r="A37" s="32" t="s">
        <v>541</v>
      </c>
      <c r="B37" s="2" t="s">
        <v>556</v>
      </c>
      <c r="C37" s="1" t="s">
        <v>570</v>
      </c>
      <c r="D37" s="1" t="s">
        <v>571</v>
      </c>
      <c r="K37" s="55"/>
      <c r="L37" s="55"/>
      <c r="M37" s="55"/>
      <c r="N37" s="55">
        <v>1</v>
      </c>
      <c r="O37" s="56" t="s">
        <v>572</v>
      </c>
      <c r="P37" s="57">
        <f ca="1">SUM(P7:P35)*N37*1000*13.08</f>
        <v>7560240</v>
      </c>
    </row>
    <row r="38" spans="1:17">
      <c r="A38" s="32" t="s">
        <v>541</v>
      </c>
      <c r="B38" s="2" t="s">
        <v>553</v>
      </c>
      <c r="C38" s="1" t="s">
        <v>573</v>
      </c>
      <c r="D38" s="1" t="s">
        <v>571</v>
      </c>
    </row>
    <row r="39" spans="1:17">
      <c r="A39" s="32" t="s">
        <v>541</v>
      </c>
      <c r="B39" s="2" t="s">
        <v>558</v>
      </c>
      <c r="C39" s="1" t="s">
        <v>574</v>
      </c>
      <c r="D39" s="1" t="s">
        <v>571</v>
      </c>
    </row>
    <row r="40" spans="1:17">
      <c r="A40" s="32" t="s">
        <v>541</v>
      </c>
      <c r="B40" s="2" t="s">
        <v>559</v>
      </c>
      <c r="C40" s="1" t="s">
        <v>575</v>
      </c>
      <c r="D40" s="1" t="s">
        <v>571</v>
      </c>
    </row>
    <row r="41" spans="1:17">
      <c r="A41" s="32" t="s">
        <v>541</v>
      </c>
      <c r="B41" s="2" t="s">
        <v>551</v>
      </c>
      <c r="C41" s="1" t="s">
        <v>576</v>
      </c>
      <c r="D41" s="1" t="s">
        <v>571</v>
      </c>
    </row>
    <row r="42" spans="1:17">
      <c r="A42" s="32" t="s">
        <v>541</v>
      </c>
      <c r="B42" s="2" t="s">
        <v>557</v>
      </c>
      <c r="C42" s="1" t="s">
        <v>110</v>
      </c>
      <c r="D42" s="1" t="s">
        <v>571</v>
      </c>
    </row>
    <row r="43" spans="1:17">
      <c r="A43" s="32" t="s">
        <v>541</v>
      </c>
      <c r="B43" s="2" t="s">
        <v>560</v>
      </c>
      <c r="C43" s="1" t="s">
        <v>577</v>
      </c>
      <c r="D43" s="1" t="s">
        <v>571</v>
      </c>
    </row>
    <row r="44" spans="1:17">
      <c r="A44" s="32" t="s">
        <v>541</v>
      </c>
      <c r="B44" s="2" t="s">
        <v>561</v>
      </c>
      <c r="C44" s="1" t="s">
        <v>578</v>
      </c>
      <c r="D44" s="1" t="s">
        <v>571</v>
      </c>
    </row>
    <row r="45" spans="1:17" ht="17.25" thickBot="1">
      <c r="A45" s="33" t="s">
        <v>541</v>
      </c>
      <c r="B45" s="4" t="s">
        <v>562</v>
      </c>
      <c r="C45" s="34" t="s">
        <v>579</v>
      </c>
      <c r="D45" s="34" t="s">
        <v>571</v>
      </c>
    </row>
    <row r="46" spans="1:17" ht="15.75" customHeight="1" thickTop="1">
      <c r="A46" s="35" t="s">
        <v>552</v>
      </c>
      <c r="B46" s="6" t="s">
        <v>550</v>
      </c>
      <c r="C46" s="36" t="s">
        <v>116</v>
      </c>
      <c r="D46" s="36" t="s">
        <v>571</v>
      </c>
    </row>
    <row r="47" spans="1:17">
      <c r="A47" s="32" t="s">
        <v>552</v>
      </c>
      <c r="B47" s="2" t="s">
        <v>549</v>
      </c>
      <c r="C47" s="1" t="s">
        <v>124</v>
      </c>
      <c r="D47" s="1" t="s">
        <v>571</v>
      </c>
    </row>
    <row r="48" spans="1:17">
      <c r="A48" s="32" t="s">
        <v>552</v>
      </c>
      <c r="B48" s="2" t="s">
        <v>554</v>
      </c>
      <c r="C48" t="s">
        <v>129</v>
      </c>
      <c r="D48" s="1" t="s">
        <v>571</v>
      </c>
    </row>
    <row r="49" spans="1:4">
      <c r="A49" s="32" t="s">
        <v>552</v>
      </c>
      <c r="B49" s="2" t="s">
        <v>556</v>
      </c>
      <c r="C49" s="1" t="s">
        <v>130</v>
      </c>
      <c r="D49" s="1" t="s">
        <v>571</v>
      </c>
    </row>
    <row r="50" spans="1:4">
      <c r="A50" s="32" t="s">
        <v>552</v>
      </c>
      <c r="B50" s="2" t="s">
        <v>553</v>
      </c>
      <c r="C50" s="1" t="s">
        <v>131</v>
      </c>
      <c r="D50" s="1" t="s">
        <v>571</v>
      </c>
    </row>
    <row r="51" spans="1:4">
      <c r="A51" s="32" t="s">
        <v>552</v>
      </c>
      <c r="B51" s="2" t="s">
        <v>558</v>
      </c>
      <c r="C51" s="1" t="s">
        <v>132</v>
      </c>
      <c r="D51" s="1" t="s">
        <v>571</v>
      </c>
    </row>
    <row r="52" spans="1:4">
      <c r="A52" s="32" t="s">
        <v>552</v>
      </c>
      <c r="B52" s="2" t="s">
        <v>559</v>
      </c>
      <c r="C52" s="1" t="s">
        <v>133</v>
      </c>
      <c r="D52" s="1" t="s">
        <v>571</v>
      </c>
    </row>
    <row r="53" spans="1:4">
      <c r="A53" s="32" t="s">
        <v>552</v>
      </c>
      <c r="B53" s="2" t="s">
        <v>551</v>
      </c>
      <c r="C53" s="1" t="s">
        <v>134</v>
      </c>
      <c r="D53" s="1" t="s">
        <v>571</v>
      </c>
    </row>
    <row r="54" spans="1:4">
      <c r="A54" s="32" t="s">
        <v>552</v>
      </c>
      <c r="B54" s="2" t="s">
        <v>555</v>
      </c>
      <c r="C54" s="1" t="s">
        <v>135</v>
      </c>
      <c r="D54" s="1" t="s">
        <v>571</v>
      </c>
    </row>
    <row r="55" spans="1:4">
      <c r="A55" s="32" t="s">
        <v>552</v>
      </c>
      <c r="B55" s="2" t="s">
        <v>557</v>
      </c>
      <c r="C55" s="1" t="s">
        <v>580</v>
      </c>
      <c r="D55" s="1" t="s">
        <v>571</v>
      </c>
    </row>
    <row r="56" spans="1:4">
      <c r="A56" s="132" t="s">
        <v>581</v>
      </c>
      <c r="B56" s="132"/>
      <c r="C56" s="1" t="s">
        <v>303</v>
      </c>
      <c r="D56" s="1" t="s">
        <v>571</v>
      </c>
    </row>
    <row r="57" spans="1:4">
      <c r="A57" s="132" t="s">
        <v>582</v>
      </c>
      <c r="B57" s="132"/>
      <c r="C57" s="1" t="s">
        <v>303</v>
      </c>
      <c r="D57" s="1" t="s">
        <v>571</v>
      </c>
    </row>
  </sheetData>
  <mergeCells count="14">
    <mergeCell ref="A5:H5"/>
    <mergeCell ref="J6:K6"/>
    <mergeCell ref="J24:J33"/>
    <mergeCell ref="J7:J23"/>
    <mergeCell ref="A57:B57"/>
    <mergeCell ref="A34:D34"/>
    <mergeCell ref="A35:B35"/>
    <mergeCell ref="A56:B56"/>
    <mergeCell ref="J34:J35"/>
    <mergeCell ref="Q34:Q35"/>
    <mergeCell ref="S6:W6"/>
    <mergeCell ref="A6:B6"/>
    <mergeCell ref="A7:A22"/>
    <mergeCell ref="A23:A32"/>
  </mergeCells>
  <conditionalFormatting sqref="H7:H32 W8:W15 O7:O36">
    <cfRule type="containsText" dxfId="9" priority="58" operator="containsText" text="PENDENTE">
      <formula>NOT(ISERROR(SEARCH("PENDENTE",H7)))</formula>
    </cfRule>
  </conditionalFormatting>
  <conditionalFormatting sqref="H7:H32 W8:W15 O7:O36">
    <cfRule type="containsText" dxfId="8" priority="57" operator="containsText" text="ENVIADO">
      <formula>NOT(ISERROR(SEARCH("ENVIADO",H7)))</formula>
    </cfRule>
  </conditionalFormatting>
  <conditionalFormatting sqref="E7">
    <cfRule type="cellIs" dxfId="7" priority="56" operator="lessThan">
      <formula>D7</formula>
    </cfRule>
  </conditionalFormatting>
  <conditionalFormatting sqref="E7">
    <cfRule type="cellIs" dxfId="6" priority="53" operator="greaterThan">
      <formula>D7</formula>
    </cfRule>
  </conditionalFormatting>
  <conditionalFormatting sqref="E8:E32">
    <cfRule type="cellIs" dxfId="5" priority="36" operator="lessThan">
      <formula>D8</formula>
    </cfRule>
  </conditionalFormatting>
  <conditionalFormatting sqref="E8:E32">
    <cfRule type="cellIs" dxfId="4" priority="35" operator="greaterThan">
      <formula>D8</formula>
    </cfRule>
  </conditionalFormatting>
  <conditionalFormatting sqref="W8:W15 O7:O36">
    <cfRule type="containsText" dxfId="3" priority="31" operator="containsText" text="NO PRAZO">
      <formula>NOT(ISERROR(SEARCH("NO PRAZO",O7)))</formula>
    </cfRule>
    <cfRule type="containsText" dxfId="2" priority="32" operator="containsText" text="ATRASO">
      <formula>NOT(ISERROR(SEARCH("ATRASO",O7)))</formula>
    </cfRule>
  </conditionalFormatting>
  <conditionalFormatting sqref="W8:W15">
    <cfRule type="containsText" dxfId="1" priority="13" operator="containsText" text="A VENCER">
      <formula>NOT(ISERROR(SEARCH("A VENCER",W8)))</formula>
    </cfRule>
    <cfRule type="containsText" dxfId="0" priority="14" operator="containsText" text="ATRASADO">
      <formula>NOT(ISERROR(SEARCH("ATRASADO",W8)))</formula>
    </cfRule>
  </conditionalFormatting>
  <dataValidations disablePrompts="1" count="1">
    <dataValidation type="list" allowBlank="1" showInputMessage="1" showErrorMessage="1" sqref="F7:F32" xr:uid="{53431A65-10CF-40EC-8AF5-465155EFCBED}">
      <formula1>$Y$6:$Y$7</formula1>
    </dataValidation>
  </dataValidations>
  <pageMargins left="0.511811024" right="0.511811024" top="0.78740157499999996" bottom="0.78740157499999996" header="0.31496062000000002" footer="0.31496062000000002"/>
  <pageSetup paperSize="9" orientation="portrait" r:id="rId1"/>
  <ignoredErrors>
    <ignoredError sqref="B37:B55"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6CD68-6E84-4845-9796-DB6B54FFDF6F}">
  <dimension ref="A1:E41"/>
  <sheetViews>
    <sheetView showGridLines="0" workbookViewId="0">
      <selection activeCell="D12" sqref="D12:D13"/>
    </sheetView>
  </sheetViews>
  <sheetFormatPr defaultRowHeight="16.5"/>
  <cols>
    <col min="1" max="1" width="5.25" customWidth="1"/>
    <col min="2" max="2" width="18" customWidth="1"/>
    <col min="3" max="3" width="132.625" customWidth="1"/>
    <col min="4" max="4" width="50.625" customWidth="1"/>
    <col min="5" max="5" width="51.5" customWidth="1"/>
  </cols>
  <sheetData>
    <row r="1" spans="1:5" ht="18" thickTop="1" thickBot="1">
      <c r="A1" s="133" t="s">
        <v>583</v>
      </c>
      <c r="B1" s="133"/>
      <c r="C1" s="133"/>
      <c r="D1" s="133"/>
      <c r="E1" s="133"/>
    </row>
    <row r="2" spans="1:5" ht="18" thickTop="1" thickBot="1">
      <c r="A2" s="21" t="s">
        <v>7</v>
      </c>
      <c r="B2" s="21" t="s">
        <v>584</v>
      </c>
      <c r="C2" s="21" t="s">
        <v>585</v>
      </c>
      <c r="D2" s="21" t="s">
        <v>10</v>
      </c>
      <c r="E2" s="21" t="s">
        <v>586</v>
      </c>
    </row>
    <row r="3" spans="1:5" ht="27.75" customHeight="1" thickTop="1">
      <c r="A3" s="137" t="s">
        <v>587</v>
      </c>
      <c r="B3" s="134" t="s">
        <v>588</v>
      </c>
      <c r="C3" s="144" t="s">
        <v>589</v>
      </c>
      <c r="D3" s="144" t="s">
        <v>590</v>
      </c>
      <c r="E3" s="12" t="s">
        <v>591</v>
      </c>
    </row>
    <row r="4" spans="1:5" ht="27.75" customHeight="1">
      <c r="A4" s="138"/>
      <c r="B4" s="135"/>
      <c r="C4" s="101"/>
      <c r="D4" s="98"/>
      <c r="E4" s="13" t="s">
        <v>592</v>
      </c>
    </row>
    <row r="5" spans="1:5" ht="27.75" customHeight="1">
      <c r="A5" s="138"/>
      <c r="B5" s="135"/>
      <c r="C5" s="101"/>
      <c r="D5" s="101" t="s">
        <v>593</v>
      </c>
      <c r="E5" s="14" t="s">
        <v>594</v>
      </c>
    </row>
    <row r="6" spans="1:5" ht="27.75" customHeight="1">
      <c r="A6" s="138"/>
      <c r="B6" s="135"/>
      <c r="C6" s="101"/>
      <c r="D6" s="101"/>
      <c r="E6" s="14" t="s">
        <v>595</v>
      </c>
    </row>
    <row r="7" spans="1:5" ht="27.75" customHeight="1">
      <c r="A7" s="138"/>
      <c r="B7" s="135"/>
      <c r="C7" s="101"/>
      <c r="D7" s="101" t="s">
        <v>596</v>
      </c>
      <c r="E7" s="14" t="s">
        <v>597</v>
      </c>
    </row>
    <row r="8" spans="1:5" ht="27.75" customHeight="1">
      <c r="A8" s="138"/>
      <c r="B8" s="135"/>
      <c r="C8" s="101"/>
      <c r="D8" s="101"/>
      <c r="E8" s="14" t="s">
        <v>598</v>
      </c>
    </row>
    <row r="9" spans="1:5" ht="27.75" customHeight="1">
      <c r="A9" s="138"/>
      <c r="B9" s="135"/>
      <c r="C9" s="101"/>
      <c r="D9" s="101" t="s">
        <v>599</v>
      </c>
      <c r="E9" s="14" t="s">
        <v>600</v>
      </c>
    </row>
    <row r="10" spans="1:5" ht="27.75" customHeight="1">
      <c r="A10" s="138"/>
      <c r="B10" s="135"/>
      <c r="C10" s="101"/>
      <c r="D10" s="101"/>
      <c r="E10" s="14" t="s">
        <v>601</v>
      </c>
    </row>
    <row r="11" spans="1:5" ht="33.75" thickBot="1">
      <c r="A11" s="139"/>
      <c r="B11" s="136"/>
      <c r="C11" s="145"/>
      <c r="D11" s="15" t="s">
        <v>602</v>
      </c>
      <c r="E11" s="16" t="s">
        <v>603</v>
      </c>
    </row>
    <row r="12" spans="1:5" ht="409.5" customHeight="1" thickTop="1">
      <c r="A12" s="151" t="s">
        <v>604</v>
      </c>
      <c r="B12" s="149" t="s">
        <v>605</v>
      </c>
      <c r="C12" s="147" t="s">
        <v>606</v>
      </c>
      <c r="D12" s="147" t="s">
        <v>607</v>
      </c>
      <c r="E12" s="140" t="s">
        <v>603</v>
      </c>
    </row>
    <row r="13" spans="1:5" ht="409.5" customHeight="1" thickBot="1">
      <c r="A13" s="152"/>
      <c r="B13" s="150"/>
      <c r="C13" s="148"/>
      <c r="D13" s="148"/>
      <c r="E13" s="141"/>
    </row>
    <row r="14" spans="1:5" ht="136.5" customHeight="1" thickTop="1">
      <c r="A14" s="137" t="s">
        <v>608</v>
      </c>
      <c r="B14" s="134" t="s">
        <v>338</v>
      </c>
      <c r="C14" s="144" t="s">
        <v>609</v>
      </c>
      <c r="D14" s="17" t="s">
        <v>610</v>
      </c>
      <c r="E14" s="18" t="s">
        <v>611</v>
      </c>
    </row>
    <row r="15" spans="1:5" ht="136.5" customHeight="1">
      <c r="A15" s="138"/>
      <c r="B15" s="135"/>
      <c r="C15" s="101"/>
      <c r="D15" s="10" t="s">
        <v>612</v>
      </c>
      <c r="E15" s="13" t="s">
        <v>613</v>
      </c>
    </row>
    <row r="16" spans="1:5" ht="136.5" customHeight="1">
      <c r="A16" s="138"/>
      <c r="B16" s="135"/>
      <c r="C16" s="101"/>
      <c r="D16" s="9" t="s">
        <v>614</v>
      </c>
      <c r="E16" s="14" t="s">
        <v>611</v>
      </c>
    </row>
    <row r="17" spans="1:5" ht="136.5" customHeight="1" thickBot="1">
      <c r="A17" s="139"/>
      <c r="B17" s="136"/>
      <c r="C17" s="145"/>
      <c r="D17" s="15" t="s">
        <v>615</v>
      </c>
      <c r="E17" s="16" t="s">
        <v>603</v>
      </c>
    </row>
    <row r="18" spans="1:5" ht="17.25" thickTop="1">
      <c r="A18" s="137" t="s">
        <v>616</v>
      </c>
      <c r="B18" s="134" t="s">
        <v>617</v>
      </c>
      <c r="C18" s="144" t="s">
        <v>618</v>
      </c>
      <c r="D18" s="19" t="s">
        <v>619</v>
      </c>
      <c r="E18" s="18" t="s">
        <v>620</v>
      </c>
    </row>
    <row r="19" spans="1:5" ht="66">
      <c r="A19" s="138"/>
      <c r="B19" s="135"/>
      <c r="C19" s="101"/>
      <c r="D19" s="10" t="s">
        <v>621</v>
      </c>
      <c r="E19" s="14" t="s">
        <v>620</v>
      </c>
    </row>
    <row r="20" spans="1:5" ht="99">
      <c r="A20" s="138"/>
      <c r="B20" s="135"/>
      <c r="C20" s="101"/>
      <c r="D20" s="10" t="s">
        <v>622</v>
      </c>
      <c r="E20" s="14" t="s">
        <v>620</v>
      </c>
    </row>
    <row r="21" spans="1:5" ht="99">
      <c r="A21" s="138"/>
      <c r="B21" s="135"/>
      <c r="C21" s="101"/>
      <c r="D21" s="10" t="s">
        <v>623</v>
      </c>
      <c r="E21" s="14" t="s">
        <v>620</v>
      </c>
    </row>
    <row r="22" spans="1:5" ht="49.5">
      <c r="A22" s="138"/>
      <c r="B22" s="135"/>
      <c r="C22" s="101"/>
      <c r="D22" s="10" t="s">
        <v>624</v>
      </c>
      <c r="E22" s="14" t="s">
        <v>620</v>
      </c>
    </row>
    <row r="23" spans="1:5" ht="33.75" thickBot="1">
      <c r="A23" s="139"/>
      <c r="B23" s="136"/>
      <c r="C23" s="145"/>
      <c r="D23" s="15" t="s">
        <v>625</v>
      </c>
      <c r="E23" s="16" t="s">
        <v>603</v>
      </c>
    </row>
    <row r="24" spans="1:5" ht="147" customHeight="1" thickTop="1">
      <c r="A24" s="137" t="s">
        <v>626</v>
      </c>
      <c r="B24" s="142" t="s">
        <v>627</v>
      </c>
      <c r="C24" s="144" t="s">
        <v>628</v>
      </c>
      <c r="D24" s="17" t="s">
        <v>629</v>
      </c>
      <c r="E24" s="18" t="s">
        <v>620</v>
      </c>
    </row>
    <row r="25" spans="1:5" ht="147" customHeight="1" thickBot="1">
      <c r="A25" s="139"/>
      <c r="B25" s="143"/>
      <c r="C25" s="146"/>
      <c r="D25" s="15" t="s">
        <v>630</v>
      </c>
      <c r="E25" s="16" t="s">
        <v>603</v>
      </c>
    </row>
    <row r="26" spans="1:5" ht="50.25" thickTop="1">
      <c r="A26" s="137" t="s">
        <v>631</v>
      </c>
      <c r="B26" s="142" t="s">
        <v>632</v>
      </c>
      <c r="C26" s="144" t="s">
        <v>633</v>
      </c>
      <c r="D26" s="25" t="s">
        <v>634</v>
      </c>
      <c r="E26" s="26">
        <v>0.25</v>
      </c>
    </row>
    <row r="27" spans="1:5" ht="49.5">
      <c r="A27" s="138"/>
      <c r="B27" s="155"/>
      <c r="C27" s="98"/>
      <c r="D27" s="23" t="s">
        <v>635</v>
      </c>
      <c r="E27" s="27">
        <v>0.25</v>
      </c>
    </row>
    <row r="28" spans="1:5" ht="50.25" thickBot="1">
      <c r="A28" s="139"/>
      <c r="B28" s="143"/>
      <c r="C28" s="146"/>
      <c r="D28" s="28" t="s">
        <v>636</v>
      </c>
      <c r="E28" s="29" t="s">
        <v>603</v>
      </c>
    </row>
    <row r="29" spans="1:5" ht="116.25" thickTop="1">
      <c r="A29" s="137" t="s">
        <v>637</v>
      </c>
      <c r="B29" s="142" t="s">
        <v>638</v>
      </c>
      <c r="C29" s="144" t="s">
        <v>639</v>
      </c>
      <c r="D29" s="17" t="s">
        <v>640</v>
      </c>
      <c r="E29" s="18" t="s">
        <v>603</v>
      </c>
    </row>
    <row r="30" spans="1:5" ht="49.5">
      <c r="A30" s="138"/>
      <c r="B30" s="155"/>
      <c r="C30" s="98"/>
      <c r="D30" s="11" t="s">
        <v>641</v>
      </c>
      <c r="E30" s="20" t="s">
        <v>642</v>
      </c>
    </row>
    <row r="31" spans="1:5" ht="33">
      <c r="A31" s="138"/>
      <c r="B31" s="155"/>
      <c r="C31" s="98"/>
      <c r="D31" s="10" t="s">
        <v>643</v>
      </c>
      <c r="E31" s="14" t="s">
        <v>603</v>
      </c>
    </row>
    <row r="32" spans="1:5" ht="50.25" thickBot="1">
      <c r="A32" s="139"/>
      <c r="B32" s="143"/>
      <c r="C32" s="146"/>
      <c r="D32" s="15" t="s">
        <v>644</v>
      </c>
      <c r="E32" s="16" t="s">
        <v>603</v>
      </c>
    </row>
    <row r="33" spans="1:5" ht="45" customHeight="1" thickTop="1">
      <c r="A33" s="137" t="s">
        <v>645</v>
      </c>
      <c r="B33" s="142" t="s">
        <v>646</v>
      </c>
      <c r="C33" s="144" t="s">
        <v>647</v>
      </c>
      <c r="D33" s="17" t="s">
        <v>648</v>
      </c>
      <c r="E33" s="153" t="s">
        <v>649</v>
      </c>
    </row>
    <row r="34" spans="1:5" ht="33">
      <c r="A34" s="138"/>
      <c r="B34" s="155"/>
      <c r="C34" s="98"/>
      <c r="D34" s="10" t="s">
        <v>650</v>
      </c>
      <c r="E34" s="154"/>
    </row>
    <row r="35" spans="1:5" ht="66">
      <c r="A35" s="138"/>
      <c r="B35" s="155"/>
      <c r="C35" s="98"/>
      <c r="D35" s="10" t="s">
        <v>651</v>
      </c>
      <c r="E35" s="154"/>
    </row>
    <row r="36" spans="1:5" ht="49.5">
      <c r="A36" s="138"/>
      <c r="B36" s="155"/>
      <c r="C36" s="98"/>
      <c r="D36" s="10" t="s">
        <v>652</v>
      </c>
      <c r="E36" s="154"/>
    </row>
    <row r="37" spans="1:5" ht="33">
      <c r="A37" s="138"/>
      <c r="B37" s="155"/>
      <c r="C37" s="98"/>
      <c r="D37" s="10" t="s">
        <v>653</v>
      </c>
      <c r="E37" s="154"/>
    </row>
    <row r="38" spans="1:5" ht="50.25" thickBot="1">
      <c r="A38" s="139"/>
      <c r="B38" s="143"/>
      <c r="C38" s="146"/>
      <c r="D38" s="15" t="s">
        <v>654</v>
      </c>
      <c r="E38" s="16" t="s">
        <v>603</v>
      </c>
    </row>
    <row r="39" spans="1:5" ht="17.25" thickTop="1"/>
    <row r="41" spans="1:5" ht="85.5" hidden="1">
      <c r="B41" s="24" t="s">
        <v>655</v>
      </c>
    </row>
  </sheetData>
  <mergeCells count="32">
    <mergeCell ref="C26:C28"/>
    <mergeCell ref="E33:E37"/>
    <mergeCell ref="C33:C38"/>
    <mergeCell ref="B33:B38"/>
    <mergeCell ref="A33:A38"/>
    <mergeCell ref="B26:B28"/>
    <mergeCell ref="A26:A28"/>
    <mergeCell ref="B29:B32"/>
    <mergeCell ref="A29:A32"/>
    <mergeCell ref="C29:C32"/>
    <mergeCell ref="B24:B25"/>
    <mergeCell ref="A24:A25"/>
    <mergeCell ref="D3:D4"/>
    <mergeCell ref="D5:D6"/>
    <mergeCell ref="D7:D8"/>
    <mergeCell ref="D9:D10"/>
    <mergeCell ref="C3:C11"/>
    <mergeCell ref="C14:C17"/>
    <mergeCell ref="C18:C23"/>
    <mergeCell ref="C24:C25"/>
    <mergeCell ref="D12:D13"/>
    <mergeCell ref="C12:C13"/>
    <mergeCell ref="B12:B13"/>
    <mergeCell ref="A12:A13"/>
    <mergeCell ref="A14:A17"/>
    <mergeCell ref="B14:B17"/>
    <mergeCell ref="A1:E1"/>
    <mergeCell ref="B3:B11"/>
    <mergeCell ref="A3:A11"/>
    <mergeCell ref="B18:B23"/>
    <mergeCell ref="A18:A23"/>
    <mergeCell ref="E12:E13"/>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7d05749f-7aa9-40b2-ba74-839f459e277b" xsi:nil="true"/>
    <lcf76f155ced4ddcb4097134ff3c332f xmlns="7d05749f-7aa9-40b2-ba74-839f459e277b">
      <Terms xmlns="http://schemas.microsoft.com/office/infopath/2007/PartnerControls"/>
    </lcf76f155ced4ddcb4097134ff3c332f>
    <TaxCatchAll xmlns="d47662af-cdd8-424e-bc14-e6974acade6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1CE0C033E538B41BB3887C87BDB46B1" ma:contentTypeVersion="12" ma:contentTypeDescription="Crie um novo documento." ma:contentTypeScope="" ma:versionID="8b42e70071b0d9bce56dc778b53ac3ad">
  <xsd:schema xmlns:xsd="http://www.w3.org/2001/XMLSchema" xmlns:xs="http://www.w3.org/2001/XMLSchema" xmlns:p="http://schemas.microsoft.com/office/2006/metadata/properties" xmlns:ns2="7d05749f-7aa9-40b2-ba74-839f459e277b" xmlns:ns3="d47662af-cdd8-424e-bc14-e6974acade63" targetNamespace="http://schemas.microsoft.com/office/2006/metadata/properties" ma:root="true" ma:fieldsID="59c82d2409d7c8259dbae2edb12d4578" ns2:_="" ns3:_="">
    <xsd:import namespace="7d05749f-7aa9-40b2-ba74-839f459e277b"/>
    <xsd:import namespace="d47662af-cdd8-424e-bc14-e6974acade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05749f-7aa9-40b2-ba74-839f459e2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tatus de liberação" ma:internalName="_x0024_Resources_x003a_core_x002c_Signoff_Status">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f1dbf4f7-48f4-42b9-a8b0-023ae232afec"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7662af-cdd8-424e-bc14-e6974acade6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be927c7-7e27-4ad4-afbc-dedbc9c1212c}" ma:internalName="TaxCatchAll" ma:showField="CatchAllData" ma:web="d47662af-cdd8-424e-bc14-e6974acade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67624F-35D6-4693-8B32-F95DDCE7FB0A}"/>
</file>

<file path=customXml/itemProps2.xml><?xml version="1.0" encoding="utf-8"?>
<ds:datastoreItem xmlns:ds="http://schemas.openxmlformats.org/officeDocument/2006/customXml" ds:itemID="{4A595A5D-9E14-49E4-893D-700EA04CD2F2}"/>
</file>

<file path=customXml/itemProps3.xml><?xml version="1.0" encoding="utf-8"?>
<ds:datastoreItem xmlns:ds="http://schemas.openxmlformats.org/officeDocument/2006/customXml" ds:itemID="{7FA25D68-0093-4CD9-A550-4624922FFA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Vinicius Carvalho Aragao</dc:creator>
  <cp:keywords/>
  <dc:description/>
  <cp:lastModifiedBy>Vinicius Carvalho Aragao</cp:lastModifiedBy>
  <cp:revision/>
  <dcterms:created xsi:type="dcterms:W3CDTF">2024-08-27T13:36:16Z</dcterms:created>
  <dcterms:modified xsi:type="dcterms:W3CDTF">2025-12-08T16:30:27Z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0x01010081CE0C033E538B41BB3887C87BDB46B1</vt:lpwstr>
  </property>
  <property fmtid="{D5CDD505-2E9C-101B-9397-08002B2CF9AE}" pid="3" name="MediaServiceImageTags">
    <vt:lpwstr/>
  </property>
</Properties>
</file>